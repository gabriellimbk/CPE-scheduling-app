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 CPE\Duty Schedule Apps - SSOE\"/>
    </mc:Choice>
  </mc:AlternateContent>
  <xr:revisionPtr revIDLastSave="0" documentId="13_ncr:1_{1667EBB7-08BC-4DF0-AE3B-65B1B9DA3D2B}" xr6:coauthVersionLast="47" xr6:coauthVersionMax="47" xr10:uidLastSave="{00000000-0000-0000-0000-000000000000}"/>
  <bookViews>
    <workbookView xWindow="-108" yWindow="-108" windowWidth="23256" windowHeight="12456" activeTab="1" xr2:uid="{C9E75523-8229-43A0-B8AC-A04BC2EF2DDC}"/>
  </bookViews>
  <sheets>
    <sheet name="Exam Dates" sheetId="1" r:id="rId1"/>
    <sheet name="Schedule" sheetId="3" r:id="rId2"/>
    <sheet name="Unavailabilit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5" i="3" l="1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H18" i="3"/>
  <c r="G18" i="3"/>
  <c r="F18" i="3"/>
  <c r="E18" i="3"/>
  <c r="D18" i="3"/>
  <c r="K17" i="3"/>
  <c r="J17" i="3"/>
  <c r="I17" i="3"/>
  <c r="H17" i="3"/>
  <c r="G17" i="3"/>
  <c r="F17" i="3"/>
  <c r="E17" i="3"/>
  <c r="D17" i="3"/>
  <c r="K16" i="3"/>
  <c r="J16" i="3"/>
  <c r="I16" i="3"/>
  <c r="H16" i="3"/>
  <c r="G16" i="3"/>
  <c r="F16" i="3"/>
  <c r="E16" i="3"/>
  <c r="D16" i="3"/>
  <c r="K15" i="3"/>
  <c r="J15" i="3"/>
  <c r="I15" i="3"/>
  <c r="H15" i="3"/>
  <c r="G15" i="3"/>
  <c r="F15" i="3"/>
  <c r="E15" i="3"/>
  <c r="D15" i="3"/>
  <c r="K14" i="3"/>
  <c r="J14" i="3"/>
  <c r="I14" i="3"/>
  <c r="H14" i="3"/>
  <c r="G14" i="3"/>
  <c r="F14" i="3"/>
  <c r="E14" i="3"/>
  <c r="D14" i="3"/>
  <c r="K13" i="3"/>
  <c r="J13" i="3"/>
  <c r="I13" i="3"/>
  <c r="H13" i="3"/>
  <c r="G13" i="3"/>
  <c r="F13" i="3"/>
  <c r="E13" i="3"/>
  <c r="D13" i="3"/>
  <c r="K12" i="3"/>
  <c r="J12" i="3"/>
  <c r="I12" i="3"/>
  <c r="H12" i="3"/>
  <c r="G12" i="3"/>
  <c r="F12" i="3"/>
  <c r="E12" i="3"/>
  <c r="D12" i="3"/>
  <c r="K11" i="3"/>
  <c r="J11" i="3"/>
  <c r="I11" i="3"/>
  <c r="H11" i="3"/>
  <c r="G11" i="3"/>
  <c r="F11" i="3"/>
  <c r="E11" i="3"/>
  <c r="D11" i="3"/>
  <c r="K10" i="3"/>
  <c r="J10" i="3"/>
  <c r="I10" i="3"/>
  <c r="H10" i="3"/>
  <c r="G10" i="3"/>
  <c r="F10" i="3"/>
  <c r="E10" i="3"/>
  <c r="D10" i="3"/>
  <c r="K9" i="3"/>
  <c r="J9" i="3"/>
  <c r="I9" i="3"/>
  <c r="H9" i="3"/>
  <c r="G9" i="3"/>
  <c r="F9" i="3"/>
  <c r="E9" i="3"/>
  <c r="D9" i="3"/>
  <c r="K8" i="3"/>
  <c r="J8" i="3"/>
  <c r="I8" i="3"/>
  <c r="H8" i="3"/>
  <c r="G8" i="3"/>
  <c r="F8" i="3"/>
  <c r="E8" i="3"/>
  <c r="D8" i="3"/>
  <c r="K7" i="3"/>
  <c r="J7" i="3"/>
  <c r="I7" i="3"/>
  <c r="H7" i="3"/>
  <c r="G7" i="3"/>
  <c r="F7" i="3"/>
  <c r="E7" i="3"/>
  <c r="D7" i="3"/>
  <c r="K6" i="3"/>
  <c r="J6" i="3"/>
  <c r="I6" i="3"/>
  <c r="H6" i="3"/>
  <c r="G6" i="3"/>
  <c r="F6" i="3"/>
  <c r="E6" i="3"/>
  <c r="D6" i="3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<sst xmlns="http://schemas.openxmlformats.org/spreadsheetml/2006/main" count="1905" uniqueCount="288">
  <si>
    <t>2025 GCE A-LEVEL EXAMINATION TIMETABLE</t>
  </si>
  <si>
    <t>No. of Invigilators</t>
  </si>
  <si>
    <t>Duration of Papers</t>
  </si>
  <si>
    <t>Date</t>
  </si>
  <si>
    <t>Time</t>
  </si>
  <si>
    <t>Subject
Code</t>
  </si>
  <si>
    <t>Paper 
No</t>
  </si>
  <si>
    <t>Subject Name</t>
  </si>
  <si>
    <t>Paper 
Weightage(%)</t>
  </si>
  <si>
    <t>MOA</t>
  </si>
  <si>
    <t>Duration
(HH:MM)</t>
  </si>
  <si>
    <t>Remarks</t>
  </si>
  <si>
    <t>Candidate Count</t>
  </si>
  <si>
    <t>EC End Time</t>
  </si>
  <si>
    <t>Normal</t>
  </si>
  <si>
    <t>Session</t>
  </si>
  <si>
    <t>Paper</t>
  </si>
  <si>
    <t>Standby</t>
  </si>
  <si>
    <t>AA/Prompter</t>
  </si>
  <si>
    <t>Total</t>
  </si>
  <si>
    <t>AA Sch</t>
  </si>
  <si>
    <t>AA Pvt</t>
  </si>
  <si>
    <t>Sch</t>
  </si>
  <si>
    <t>Pvt</t>
  </si>
  <si>
    <t>AA</t>
  </si>
  <si>
    <t>27/10/2025</t>
  </si>
  <si>
    <t>08:00 - 11:15</t>
  </si>
  <si>
    <t>8655</t>
  </si>
  <si>
    <t>01</t>
  </si>
  <si>
    <t>CHINESE LANGUAGE</t>
  </si>
  <si>
    <t>WRITTEN</t>
  </si>
  <si>
    <t>3:00</t>
  </si>
  <si>
    <t/>
  </si>
  <si>
    <t>12:00</t>
  </si>
  <si>
    <t>8655/01</t>
  </si>
  <si>
    <t>AM</t>
  </si>
  <si>
    <t>03/11/2025</t>
  </si>
  <si>
    <t>08:00 - 09:30</t>
  </si>
  <si>
    <t>8881</t>
  </si>
  <si>
    <t>GENERAL PAPER</t>
  </si>
  <si>
    <t>1:30</t>
  </si>
  <si>
    <t>09:55</t>
  </si>
  <si>
    <t>8881/01</t>
  </si>
  <si>
    <t>14:00 - 17:00</t>
  </si>
  <si>
    <t>8879</t>
  </si>
  <si>
    <t>H1 ART</t>
  </si>
  <si>
    <t>17:45</t>
  </si>
  <si>
    <t>8879/01</t>
  </si>
  <si>
    <t>PM</t>
  </si>
  <si>
    <t>9750</t>
  </si>
  <si>
    <t>H2 ART</t>
  </si>
  <si>
    <t>9750/01</t>
  </si>
  <si>
    <t>9753</t>
  </si>
  <si>
    <t>11</t>
  </si>
  <si>
    <t>H2 MUSIC</t>
  </si>
  <si>
    <t>9753/11</t>
  </si>
  <si>
    <t>12</t>
  </si>
  <si>
    <t>9753/12</t>
  </si>
  <si>
    <t>04/11/2025</t>
  </si>
  <si>
    <t>08:00 - 11:00</t>
  </si>
  <si>
    <t>8865</t>
  </si>
  <si>
    <t>MATHEMATICS</t>
  </si>
  <si>
    <t>11:45</t>
  </si>
  <si>
    <t>8865/01</t>
  </si>
  <si>
    <t>9758</t>
  </si>
  <si>
    <t>9758/01</t>
  </si>
  <si>
    <t>9759</t>
  </si>
  <si>
    <t>KNOWLEDGE &amp; INQUIRY</t>
  </si>
  <si>
    <t>9759/01</t>
  </si>
  <si>
    <t>05/11/2025</t>
  </si>
  <si>
    <t>02</t>
  </si>
  <si>
    <t>8881/02</t>
  </si>
  <si>
    <t>8841</t>
  </si>
  <si>
    <t>LITERATURE IN ENGLISH</t>
  </si>
  <si>
    <t>8841/01</t>
  </si>
  <si>
    <t>9539</t>
  </si>
  <si>
    <t>9539/01</t>
  </si>
  <si>
    <t>06/11/2025</t>
  </si>
  <si>
    <t>08:00 - 09:15</t>
  </si>
  <si>
    <t>9575</t>
  </si>
  <si>
    <t>CHINESE LANGUAGE &amp; LITERATURE</t>
  </si>
  <si>
    <t>1:15</t>
  </si>
  <si>
    <t>09:35</t>
  </si>
  <si>
    <t>9575/01</t>
  </si>
  <si>
    <t>9576</t>
  </si>
  <si>
    <t>MALAY LANGUAGE &amp; LITERATURE</t>
  </si>
  <si>
    <t>9576/01</t>
  </si>
  <si>
    <t>9577</t>
  </si>
  <si>
    <t>TAMIL LANGUAGE &amp; LITERATURE</t>
  </si>
  <si>
    <t>9577/01</t>
  </si>
  <si>
    <t>10:00 - 11:45</t>
  </si>
  <si>
    <t>1:45</t>
  </si>
  <si>
    <t>12:15</t>
  </si>
  <si>
    <t>9575/02</t>
  </si>
  <si>
    <t>9576/02</t>
  </si>
  <si>
    <t>9577/02</t>
  </si>
  <si>
    <t>14:00 - 16:30</t>
  </si>
  <si>
    <t>9570</t>
  </si>
  <si>
    <t>ECONOMICS</t>
  </si>
  <si>
    <t>2:30</t>
  </si>
  <si>
    <t>17:10</t>
  </si>
  <si>
    <t>9570/01</t>
  </si>
  <si>
    <t>8843</t>
  </si>
  <si>
    <t>8843/01</t>
  </si>
  <si>
    <t>07/11/2025</t>
  </si>
  <si>
    <t>9758/02</t>
  </si>
  <si>
    <t>14:30 - 16:30</t>
  </si>
  <si>
    <t>2:00</t>
  </si>
  <si>
    <t>17:00</t>
  </si>
  <si>
    <t>9759/02</t>
  </si>
  <si>
    <t>10/11/2025</t>
  </si>
  <si>
    <t>14:00 - 16:00</t>
  </si>
  <si>
    <t>8873</t>
  </si>
  <si>
    <t>CHEMISTRY</t>
  </si>
  <si>
    <t>16:30</t>
  </si>
  <si>
    <t>8873/02</t>
  </si>
  <si>
    <t>9729</t>
  </si>
  <si>
    <t>9729/02</t>
  </si>
  <si>
    <t>11/11/2025</t>
  </si>
  <si>
    <t>9539/02</t>
  </si>
  <si>
    <t>9569</t>
  </si>
  <si>
    <t>COMPUTING</t>
  </si>
  <si>
    <t>9569/01</t>
  </si>
  <si>
    <t>12/11/2025</t>
  </si>
  <si>
    <t>08:00 - 10:00</t>
  </si>
  <si>
    <t>03</t>
  </si>
  <si>
    <t>10:30</t>
  </si>
  <si>
    <t>9729/03</t>
  </si>
  <si>
    <t>9575/03</t>
  </si>
  <si>
    <t>9576/03</t>
  </si>
  <si>
    <t>9577/03</t>
  </si>
  <si>
    <t>13/11/2025</t>
  </si>
  <si>
    <t>8867</t>
  </si>
  <si>
    <t>PHYSICS</t>
  </si>
  <si>
    <t>8867/02</t>
  </si>
  <si>
    <t>9749</t>
  </si>
  <si>
    <t>9749/02</t>
  </si>
  <si>
    <t>14/11/2025</t>
  </si>
  <si>
    <t>08:00 - 10:30</t>
  </si>
  <si>
    <t>11:10</t>
  </si>
  <si>
    <t>9570/02</t>
  </si>
  <si>
    <t>14:30 - 17:30</t>
  </si>
  <si>
    <t>9508</t>
  </si>
  <si>
    <t>ENGLISH LANGUAGE &amp; LINGUISTICS</t>
  </si>
  <si>
    <t>18:15</t>
  </si>
  <si>
    <t>9508/01</t>
  </si>
  <si>
    <t>9649</t>
  </si>
  <si>
    <t>FURTHER MATHEMATICS</t>
  </si>
  <si>
    <t>9649/01</t>
  </si>
  <si>
    <t>17/11/2025</t>
  </si>
  <si>
    <t>9174</t>
  </si>
  <si>
    <t>HISTORY</t>
  </si>
  <si>
    <t>9174/01</t>
  </si>
  <si>
    <t>9749/03</t>
  </si>
  <si>
    <t>18/11/2025</t>
  </si>
  <si>
    <t>8876</t>
  </si>
  <si>
    <t>BIOLOGY</t>
  </si>
  <si>
    <t>8876/02</t>
  </si>
  <si>
    <t>9744</t>
  </si>
  <si>
    <t>9744/02</t>
  </si>
  <si>
    <t>9508/02</t>
  </si>
  <si>
    <t>9649/02</t>
  </si>
  <si>
    <t>19/11/2025</t>
  </si>
  <si>
    <t>9744/03</t>
  </si>
  <si>
    <t>20/11/2025</t>
  </si>
  <si>
    <t>9174/02</t>
  </si>
  <si>
    <t>9816</t>
  </si>
  <si>
    <t>9816/01</t>
  </si>
  <si>
    <t>21/11/2025</t>
  </si>
  <si>
    <t>9173</t>
  </si>
  <si>
    <t>GEOGRAPHY</t>
  </si>
  <si>
    <t>9173/01</t>
  </si>
  <si>
    <t>14:30 - 15:30</t>
  </si>
  <si>
    <t>1:00</t>
  </si>
  <si>
    <t>15:45</t>
  </si>
  <si>
    <t>8873/01</t>
  </si>
  <si>
    <t>9729/01</t>
  </si>
  <si>
    <t>24/11/2025</t>
  </si>
  <si>
    <t>9820</t>
  </si>
  <si>
    <t>9820/01</t>
  </si>
  <si>
    <t>25/11/2025</t>
  </si>
  <si>
    <t>9814</t>
  </si>
  <si>
    <t>9814/01</t>
  </si>
  <si>
    <t>9173/02</t>
  </si>
  <si>
    <t>26/11/2025</t>
  </si>
  <si>
    <t>9813</t>
  </si>
  <si>
    <t>9813/01</t>
  </si>
  <si>
    <t>9809</t>
  </si>
  <si>
    <t>3:15</t>
  </si>
  <si>
    <t>12:05</t>
  </si>
  <si>
    <t>9809/01</t>
  </si>
  <si>
    <t>14:00 - 15:00</t>
  </si>
  <si>
    <t>15:15</t>
  </si>
  <si>
    <t>8876/01</t>
  </si>
  <si>
    <t>9744/01</t>
  </si>
  <si>
    <t>27/11/2025</t>
  </si>
  <si>
    <t>08:00 - 09:00</t>
  </si>
  <si>
    <t>09:15</t>
  </si>
  <si>
    <t>8867/01</t>
  </si>
  <si>
    <t>9749/01</t>
  </si>
  <si>
    <t>Subject Code</t>
  </si>
  <si>
    <t>8879/01, 9750/01, 9753/11, 9753/12</t>
  </si>
  <si>
    <t>8865/01, 9758/01</t>
  </si>
  <si>
    <t>8841/01, 9539/01</t>
  </si>
  <si>
    <t>9575/01, 9576/01, 9577/01, 9575/02, 9576/02, 9577/02</t>
  </si>
  <si>
    <t>9570/01, 8843/01</t>
  </si>
  <si>
    <t>8873/02, 9729/02</t>
  </si>
  <si>
    <t>9575/03, 9576/03, 9577/03</t>
  </si>
  <si>
    <t>8867/02, 9749/02</t>
  </si>
  <si>
    <t>9508/01, 9649/01</t>
  </si>
  <si>
    <t>8876/02, 9744/02</t>
  </si>
  <si>
    <t>9508/02, 9649/02</t>
  </si>
  <si>
    <t>8873/01, 9729/01</t>
  </si>
  <si>
    <t>9813/01, 9809/01</t>
  </si>
  <si>
    <t>8876/01, 9744/01</t>
  </si>
  <si>
    <t>8867/01, 9749/01</t>
  </si>
  <si>
    <t>H1 ART, H2 ART, H2 MUSIC</t>
  </si>
  <si>
    <t>CHINESE LANGUAGE &amp; LITERATURE, MALAY LANGUAGE &amp; LITERATURE, TAMIL LANGUAGE &amp; LITERATURE</t>
  </si>
  <si>
    <t>ENGLISH LANGUAGE &amp; LINGUISTICS, FURTHER MATHEMATICS</t>
  </si>
  <si>
    <t>CHEMISTRY, ECONOMICS</t>
  </si>
  <si>
    <t>Name</t>
  </si>
  <si>
    <t>Teaching Subject</t>
  </si>
  <si>
    <t>Teaching classes</t>
  </si>
  <si>
    <t>Inv1</t>
  </si>
  <si>
    <t>Inv2</t>
  </si>
  <si>
    <t>Inv3</t>
  </si>
  <si>
    <t>Inv4</t>
  </si>
  <si>
    <t>Inv5</t>
  </si>
  <si>
    <t>Inv6</t>
  </si>
  <si>
    <t>Inv7</t>
  </si>
  <si>
    <t>Inv8</t>
  </si>
  <si>
    <t>Inv9</t>
  </si>
  <si>
    <t>Inv10</t>
  </si>
  <si>
    <t>Inv11</t>
  </si>
  <si>
    <t>Inv12</t>
  </si>
  <si>
    <t>Inv13</t>
  </si>
  <si>
    <t>Inv14</t>
  </si>
  <si>
    <t>Inv15</t>
  </si>
  <si>
    <t>Inv16</t>
  </si>
  <si>
    <t>Inv17</t>
  </si>
  <si>
    <t>Inv18</t>
  </si>
  <si>
    <t>Inv19</t>
  </si>
  <si>
    <t>Inv20</t>
  </si>
  <si>
    <t>Inv21</t>
  </si>
  <si>
    <t>Inv22</t>
  </si>
  <si>
    <t>Inv23</t>
  </si>
  <si>
    <t>Inv24</t>
  </si>
  <si>
    <t>Inv25</t>
  </si>
  <si>
    <t>Inv26</t>
  </si>
  <si>
    <t>Inv27</t>
  </si>
  <si>
    <t>Inv28</t>
  </si>
  <si>
    <t>Inv29</t>
  </si>
  <si>
    <t>Inv30</t>
  </si>
  <si>
    <t>Inv31</t>
  </si>
  <si>
    <t>Inv32</t>
  </si>
  <si>
    <t>Inv33</t>
  </si>
  <si>
    <t>Inv34</t>
  </si>
  <si>
    <t>Inv35</t>
  </si>
  <si>
    <t>Inv36</t>
  </si>
  <si>
    <t>Inv37</t>
  </si>
  <si>
    <t>Inv38</t>
  </si>
  <si>
    <t>Inv39</t>
  </si>
  <si>
    <t>Inv40</t>
  </si>
  <si>
    <t>Inv41</t>
  </si>
  <si>
    <t>Inv42</t>
  </si>
  <si>
    <t>Inv43</t>
  </si>
  <si>
    <t>Inv44</t>
  </si>
  <si>
    <t>Inv45</t>
  </si>
  <si>
    <t>Inv46</t>
  </si>
  <si>
    <t>Inv47</t>
  </si>
  <si>
    <t>Inv48</t>
  </si>
  <si>
    <t>Inv49</t>
  </si>
  <si>
    <t>Inv50</t>
  </si>
  <si>
    <t>x</t>
  </si>
  <si>
    <t>Others</t>
  </si>
  <si>
    <t>no. of normal invigilator session</t>
  </si>
  <si>
    <t>no. of AA invigilator session</t>
  </si>
  <si>
    <t>total no. of normal + AA duty</t>
  </si>
  <si>
    <t>no. of standby session</t>
  </si>
  <si>
    <t>total no. of minutes</t>
  </si>
  <si>
    <t>no. of AM session</t>
  </si>
  <si>
    <t>no. of PM session</t>
  </si>
  <si>
    <t>no. of days with double invigilation duty</t>
  </si>
  <si>
    <t>X</t>
  </si>
  <si>
    <t>S</t>
  </si>
  <si>
    <t>I</t>
  </si>
  <si>
    <t>Scheduling notes</t>
  </si>
  <si>
    <t>All grouped duty requirements 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</si>
</sst>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indexed="6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3" borderId="0" xfId="0" applyFill="1"/>
    <xf numFmtId="0" fontId="2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4" borderId="1" xfId="0" applyFill="1" applyBorder="1"/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1059-FDDF-4D08-84A7-F4C375E2070E}">
  <dimension ref="A1:W59"/>
  <sheetViews>
    <sheetView topLeftCell="I5" workbookViewId="0">
      <selection activeCell="Q17" sqref="Q17"/>
    </sheetView>
  </sheetViews>
  <sheetFormatPr defaultRowHeight="14.4" x14ac:dyDescent="0.3"/>
  <cols>
    <col min="1" max="1" width="13.77734375" customWidth="1"/>
    <col min="2" max="2" width="16.77734375" customWidth="1"/>
    <col min="3" max="4" width="10.77734375" customWidth="1"/>
    <col min="5" max="5" width="32.77734375" customWidth="1"/>
    <col min="6" max="9" width="14.77734375" customWidth="1"/>
    <col min="10" max="14" width="12.77734375" customWidth="1"/>
    <col min="15" max="18" width="14.77734375" customWidth="1"/>
    <col min="19" max="23" width="13.77734375" customWidth="1"/>
  </cols>
  <sheetData>
    <row r="1" spans="1:23" ht="24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21" t="s">
        <v>1</v>
      </c>
      <c r="Q1" s="21"/>
      <c r="R1" s="21"/>
      <c r="S1" s="15" t="s">
        <v>2</v>
      </c>
      <c r="T1" s="16"/>
      <c r="U1" s="16"/>
      <c r="V1" s="16"/>
      <c r="W1" s="17"/>
    </row>
    <row r="2" spans="1:23" ht="37.950000000000003" customHeight="1" x14ac:dyDescent="0.3">
      <c r="A2" s="13" t="s">
        <v>3</v>
      </c>
      <c r="B2" s="13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 t="s">
        <v>11</v>
      </c>
      <c r="J2" s="18" t="s">
        <v>12</v>
      </c>
      <c r="K2" s="19"/>
      <c r="L2" s="19"/>
      <c r="M2" s="19"/>
      <c r="N2" s="20"/>
      <c r="O2" s="13" t="s">
        <v>13</v>
      </c>
      <c r="P2" s="13" t="s">
        <v>14</v>
      </c>
      <c r="Q2" s="13" t="s">
        <v>18</v>
      </c>
      <c r="R2" s="13" t="s">
        <v>17</v>
      </c>
      <c r="S2" s="13" t="s">
        <v>3</v>
      </c>
      <c r="T2" s="13" t="s">
        <v>16</v>
      </c>
      <c r="U2" s="13" t="s">
        <v>15</v>
      </c>
      <c r="V2" s="13" t="s">
        <v>14</v>
      </c>
      <c r="W2" s="13" t="s">
        <v>24</v>
      </c>
    </row>
    <row r="3" spans="1:23" ht="24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" t="s">
        <v>23</v>
      </c>
      <c r="K3" s="1" t="s">
        <v>22</v>
      </c>
      <c r="L3" s="1" t="s">
        <v>21</v>
      </c>
      <c r="M3" s="1" t="s">
        <v>20</v>
      </c>
      <c r="N3" s="1" t="s">
        <v>19</v>
      </c>
      <c r="O3" s="14"/>
      <c r="P3" s="14"/>
      <c r="Q3" s="14"/>
      <c r="R3" s="14"/>
      <c r="S3" s="14"/>
      <c r="T3" s="14"/>
      <c r="U3" s="14"/>
      <c r="V3" s="14"/>
      <c r="W3" s="14"/>
    </row>
    <row r="4" spans="1:23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4">
        <v>20</v>
      </c>
      <c r="G4" s="3" t="s">
        <v>30</v>
      </c>
      <c r="H4" s="3" t="s">
        <v>31</v>
      </c>
      <c r="I4" s="5" t="s">
        <v>32</v>
      </c>
      <c r="J4" s="4">
        <v>5</v>
      </c>
      <c r="K4" s="4">
        <v>34</v>
      </c>
      <c r="L4" s="4">
        <v>3</v>
      </c>
      <c r="M4" s="4">
        <v>6</v>
      </c>
      <c r="N4" s="4">
        <f t="shared" ref="N4:N35" si="0">SUM(J4:M4)</f>
        <v>48</v>
      </c>
      <c r="O4" s="3" t="s">
        <v>33</v>
      </c>
      <c r="P4" s="4">
        <v>6</v>
      </c>
      <c r="Q4" s="4">
        <v>3</v>
      </c>
      <c r="R4" s="4">
        <v>2</v>
      </c>
      <c r="S4" s="3" t="s">
        <v>25</v>
      </c>
      <c r="T4" s="3" t="s">
        <v>34</v>
      </c>
      <c r="U4" s="3" t="s">
        <v>35</v>
      </c>
      <c r="V4" s="2">
        <v>180</v>
      </c>
      <c r="W4" s="2">
        <v>225</v>
      </c>
    </row>
    <row r="5" spans="1:23" x14ac:dyDescent="0.3">
      <c r="A5" s="3" t="s">
        <v>36</v>
      </c>
      <c r="B5" s="3" t="s">
        <v>37</v>
      </c>
      <c r="C5" s="3" t="s">
        <v>38</v>
      </c>
      <c r="D5" s="3" t="s">
        <v>28</v>
      </c>
      <c r="E5" s="3" t="s">
        <v>39</v>
      </c>
      <c r="F5" s="4">
        <v>20</v>
      </c>
      <c r="G5" s="3" t="s">
        <v>30</v>
      </c>
      <c r="H5" s="3" t="s">
        <v>40</v>
      </c>
      <c r="I5" s="5" t="s">
        <v>32</v>
      </c>
      <c r="J5" s="4">
        <v>5</v>
      </c>
      <c r="K5" s="4">
        <v>34</v>
      </c>
      <c r="L5" s="4">
        <v>3</v>
      </c>
      <c r="M5" s="4">
        <v>6</v>
      </c>
      <c r="N5" s="4">
        <f t="shared" si="0"/>
        <v>48</v>
      </c>
      <c r="O5" s="3" t="s">
        <v>41</v>
      </c>
      <c r="P5" s="4">
        <v>6</v>
      </c>
      <c r="Q5" s="4">
        <v>3</v>
      </c>
      <c r="R5" s="4">
        <v>2</v>
      </c>
      <c r="S5" s="3" t="s">
        <v>36</v>
      </c>
      <c r="T5" s="3" t="s">
        <v>42</v>
      </c>
      <c r="U5" s="3" t="s">
        <v>35</v>
      </c>
      <c r="V5" s="2">
        <v>90</v>
      </c>
      <c r="W5" s="2">
        <v>115</v>
      </c>
    </row>
    <row r="6" spans="1:23" x14ac:dyDescent="0.3">
      <c r="A6" s="3" t="s">
        <v>36</v>
      </c>
      <c r="B6" s="3" t="s">
        <v>43</v>
      </c>
      <c r="C6" s="3" t="s">
        <v>44</v>
      </c>
      <c r="D6" s="3" t="s">
        <v>28</v>
      </c>
      <c r="E6" s="3" t="s">
        <v>45</v>
      </c>
      <c r="F6" s="4">
        <v>20</v>
      </c>
      <c r="G6" s="3" t="s">
        <v>30</v>
      </c>
      <c r="H6" s="3" t="s">
        <v>31</v>
      </c>
      <c r="I6" s="5" t="s">
        <v>32</v>
      </c>
      <c r="J6" s="4">
        <v>5</v>
      </c>
      <c r="K6" s="4">
        <v>34</v>
      </c>
      <c r="L6" s="4">
        <v>3</v>
      </c>
      <c r="M6" s="4">
        <v>6</v>
      </c>
      <c r="N6" s="4">
        <f t="shared" si="0"/>
        <v>48</v>
      </c>
      <c r="O6" s="3" t="s">
        <v>46</v>
      </c>
      <c r="P6" s="4">
        <v>2</v>
      </c>
      <c r="Q6" s="4">
        <v>3</v>
      </c>
      <c r="R6" s="4">
        <v>2</v>
      </c>
      <c r="S6" s="3" t="s">
        <v>36</v>
      </c>
      <c r="T6" s="3" t="s">
        <v>47</v>
      </c>
      <c r="U6" s="3" t="s">
        <v>48</v>
      </c>
      <c r="V6" s="2">
        <v>180</v>
      </c>
      <c r="W6" s="2">
        <v>225</v>
      </c>
    </row>
    <row r="7" spans="1:23" x14ac:dyDescent="0.3">
      <c r="A7" s="3" t="s">
        <v>36</v>
      </c>
      <c r="B7" s="3" t="s">
        <v>43</v>
      </c>
      <c r="C7" s="3" t="s">
        <v>49</v>
      </c>
      <c r="D7" s="3" t="s">
        <v>28</v>
      </c>
      <c r="E7" s="3" t="s">
        <v>50</v>
      </c>
      <c r="F7" s="4">
        <v>20</v>
      </c>
      <c r="G7" s="3" t="s">
        <v>30</v>
      </c>
      <c r="H7" s="3" t="s">
        <v>31</v>
      </c>
      <c r="I7" s="5" t="s">
        <v>32</v>
      </c>
      <c r="J7" s="4">
        <v>5</v>
      </c>
      <c r="K7" s="4">
        <v>34</v>
      </c>
      <c r="L7" s="4">
        <v>3</v>
      </c>
      <c r="M7" s="4">
        <v>6</v>
      </c>
      <c r="N7" s="4">
        <f t="shared" si="0"/>
        <v>48</v>
      </c>
      <c r="O7" s="3" t="s">
        <v>46</v>
      </c>
      <c r="P7" s="4">
        <v>2</v>
      </c>
      <c r="Q7" s="4">
        <v>3</v>
      </c>
      <c r="R7" s="4">
        <v>2</v>
      </c>
      <c r="S7" s="3" t="s">
        <v>36</v>
      </c>
      <c r="T7" s="3" t="s">
        <v>51</v>
      </c>
      <c r="U7" s="3" t="s">
        <v>48</v>
      </c>
      <c r="V7" s="2">
        <v>180</v>
      </c>
      <c r="W7" s="2">
        <v>225</v>
      </c>
    </row>
    <row r="8" spans="1:23" x14ac:dyDescent="0.3">
      <c r="A8" s="3" t="s">
        <v>36</v>
      </c>
      <c r="B8" s="3" t="s">
        <v>43</v>
      </c>
      <c r="C8" s="3" t="s">
        <v>52</v>
      </c>
      <c r="D8" s="3" t="s">
        <v>53</v>
      </c>
      <c r="E8" s="3" t="s">
        <v>54</v>
      </c>
      <c r="F8" s="4">
        <v>20</v>
      </c>
      <c r="G8" s="3" t="s">
        <v>30</v>
      </c>
      <c r="H8" s="3" t="s">
        <v>31</v>
      </c>
      <c r="I8" s="5" t="s">
        <v>32</v>
      </c>
      <c r="J8" s="4">
        <v>5</v>
      </c>
      <c r="K8" s="4">
        <v>34</v>
      </c>
      <c r="L8" s="4">
        <v>3</v>
      </c>
      <c r="M8" s="4">
        <v>6</v>
      </c>
      <c r="N8" s="4">
        <f t="shared" si="0"/>
        <v>48</v>
      </c>
      <c r="O8" s="3" t="s">
        <v>46</v>
      </c>
      <c r="P8" s="4">
        <v>2</v>
      </c>
      <c r="Q8" s="4">
        <v>3</v>
      </c>
      <c r="R8" s="4">
        <v>2</v>
      </c>
      <c r="S8" s="3" t="s">
        <v>36</v>
      </c>
      <c r="T8" s="3" t="s">
        <v>55</v>
      </c>
      <c r="U8" s="3" t="s">
        <v>48</v>
      </c>
      <c r="V8" s="2">
        <v>180</v>
      </c>
      <c r="W8" s="2">
        <v>225</v>
      </c>
    </row>
    <row r="9" spans="1:23" x14ac:dyDescent="0.3">
      <c r="A9" s="3" t="s">
        <v>36</v>
      </c>
      <c r="B9" s="3" t="s">
        <v>43</v>
      </c>
      <c r="C9" s="3" t="s">
        <v>52</v>
      </c>
      <c r="D9" s="3" t="s">
        <v>56</v>
      </c>
      <c r="E9" s="3" t="s">
        <v>54</v>
      </c>
      <c r="F9" s="4">
        <v>20</v>
      </c>
      <c r="G9" s="3" t="s">
        <v>30</v>
      </c>
      <c r="H9" s="3" t="s">
        <v>31</v>
      </c>
      <c r="I9" s="5" t="s">
        <v>32</v>
      </c>
      <c r="J9" s="4">
        <v>5</v>
      </c>
      <c r="K9" s="4">
        <v>34</v>
      </c>
      <c r="L9" s="4">
        <v>3</v>
      </c>
      <c r="M9" s="4">
        <v>6</v>
      </c>
      <c r="N9" s="4">
        <f t="shared" si="0"/>
        <v>48</v>
      </c>
      <c r="O9" s="3" t="s">
        <v>46</v>
      </c>
      <c r="P9" s="4">
        <v>6</v>
      </c>
      <c r="Q9" s="4">
        <v>3</v>
      </c>
      <c r="R9" s="4">
        <v>2</v>
      </c>
      <c r="S9" s="3" t="s">
        <v>36</v>
      </c>
      <c r="T9" s="3" t="s">
        <v>57</v>
      </c>
      <c r="U9" s="3" t="s">
        <v>48</v>
      </c>
      <c r="V9" s="2">
        <v>180</v>
      </c>
      <c r="W9" s="2">
        <v>225</v>
      </c>
    </row>
    <row r="10" spans="1:23" x14ac:dyDescent="0.3">
      <c r="A10" s="3" t="s">
        <v>58</v>
      </c>
      <c r="B10" s="3" t="s">
        <v>59</v>
      </c>
      <c r="C10" s="3" t="s">
        <v>60</v>
      </c>
      <c r="D10" s="3" t="s">
        <v>28</v>
      </c>
      <c r="E10" s="3" t="s">
        <v>61</v>
      </c>
      <c r="F10" s="4">
        <v>20</v>
      </c>
      <c r="G10" s="3" t="s">
        <v>30</v>
      </c>
      <c r="H10" s="3" t="s">
        <v>31</v>
      </c>
      <c r="I10" s="5" t="s">
        <v>32</v>
      </c>
      <c r="J10" s="4">
        <v>5</v>
      </c>
      <c r="K10" s="4">
        <v>34</v>
      </c>
      <c r="L10" s="4">
        <v>3</v>
      </c>
      <c r="M10" s="4">
        <v>6</v>
      </c>
      <c r="N10" s="4">
        <f t="shared" si="0"/>
        <v>48</v>
      </c>
      <c r="O10" s="3" t="s">
        <v>62</v>
      </c>
      <c r="P10" s="4">
        <v>6</v>
      </c>
      <c r="Q10" s="4">
        <v>3</v>
      </c>
      <c r="R10" s="4">
        <v>2</v>
      </c>
      <c r="S10" s="3" t="s">
        <v>58</v>
      </c>
      <c r="T10" s="3" t="s">
        <v>63</v>
      </c>
      <c r="U10" s="3" t="s">
        <v>35</v>
      </c>
      <c r="V10" s="2">
        <v>180</v>
      </c>
      <c r="W10" s="2">
        <v>225</v>
      </c>
    </row>
    <row r="11" spans="1:23" x14ac:dyDescent="0.3">
      <c r="A11" s="3" t="s">
        <v>58</v>
      </c>
      <c r="B11" s="3" t="s">
        <v>59</v>
      </c>
      <c r="C11" s="3" t="s">
        <v>64</v>
      </c>
      <c r="D11" s="3" t="s">
        <v>28</v>
      </c>
      <c r="E11" s="3" t="s">
        <v>61</v>
      </c>
      <c r="F11" s="4">
        <v>20</v>
      </c>
      <c r="G11" s="3" t="s">
        <v>30</v>
      </c>
      <c r="H11" s="3" t="s">
        <v>31</v>
      </c>
      <c r="I11" s="5" t="s">
        <v>32</v>
      </c>
      <c r="J11" s="4">
        <v>5</v>
      </c>
      <c r="K11" s="4">
        <v>34</v>
      </c>
      <c r="L11" s="4">
        <v>3</v>
      </c>
      <c r="M11" s="4">
        <v>6</v>
      </c>
      <c r="N11" s="4">
        <f t="shared" si="0"/>
        <v>48</v>
      </c>
      <c r="O11" s="3" t="s">
        <v>62</v>
      </c>
      <c r="P11" s="4">
        <v>6</v>
      </c>
      <c r="Q11" s="4">
        <v>3</v>
      </c>
      <c r="R11" s="4">
        <v>2</v>
      </c>
      <c r="S11" s="3" t="s">
        <v>58</v>
      </c>
      <c r="T11" s="3" t="s">
        <v>65</v>
      </c>
      <c r="U11" s="3" t="s">
        <v>35</v>
      </c>
      <c r="V11" s="2">
        <v>180</v>
      </c>
      <c r="W11" s="2">
        <v>225</v>
      </c>
    </row>
    <row r="12" spans="1:23" x14ac:dyDescent="0.3">
      <c r="A12" s="3" t="s">
        <v>58</v>
      </c>
      <c r="B12" s="3" t="s">
        <v>43</v>
      </c>
      <c r="C12" s="3" t="s">
        <v>66</v>
      </c>
      <c r="D12" s="3" t="s">
        <v>28</v>
      </c>
      <c r="E12" s="3" t="s">
        <v>67</v>
      </c>
      <c r="F12" s="4">
        <v>20</v>
      </c>
      <c r="G12" s="3" t="s">
        <v>30</v>
      </c>
      <c r="H12" s="3" t="s">
        <v>31</v>
      </c>
      <c r="I12" s="5" t="s">
        <v>32</v>
      </c>
      <c r="J12" s="4">
        <v>5</v>
      </c>
      <c r="K12" s="4">
        <v>34</v>
      </c>
      <c r="L12" s="4">
        <v>3</v>
      </c>
      <c r="M12" s="4">
        <v>6</v>
      </c>
      <c r="N12" s="4">
        <f t="shared" si="0"/>
        <v>48</v>
      </c>
      <c r="O12" s="3" t="s">
        <v>46</v>
      </c>
      <c r="P12" s="4">
        <v>6</v>
      </c>
      <c r="Q12" s="4">
        <v>3</v>
      </c>
      <c r="R12" s="4">
        <v>2</v>
      </c>
      <c r="S12" s="3" t="s">
        <v>58</v>
      </c>
      <c r="T12" s="3" t="s">
        <v>68</v>
      </c>
      <c r="U12" s="3" t="s">
        <v>48</v>
      </c>
      <c r="V12" s="2">
        <v>180</v>
      </c>
      <c r="W12" s="2">
        <v>225</v>
      </c>
    </row>
    <row r="13" spans="1:23" x14ac:dyDescent="0.3">
      <c r="A13" s="3" t="s">
        <v>69</v>
      </c>
      <c r="B13" s="3" t="s">
        <v>37</v>
      </c>
      <c r="C13" s="3" t="s">
        <v>38</v>
      </c>
      <c r="D13" s="3" t="s">
        <v>70</v>
      </c>
      <c r="E13" s="3" t="s">
        <v>39</v>
      </c>
      <c r="F13" s="4">
        <v>20</v>
      </c>
      <c r="G13" s="3" t="s">
        <v>30</v>
      </c>
      <c r="H13" s="3" t="s">
        <v>40</v>
      </c>
      <c r="I13" s="5" t="s">
        <v>32</v>
      </c>
      <c r="J13" s="4">
        <v>5</v>
      </c>
      <c r="K13" s="4">
        <v>34</v>
      </c>
      <c r="L13" s="4">
        <v>3</v>
      </c>
      <c r="M13" s="4">
        <v>6</v>
      </c>
      <c r="N13" s="4">
        <f t="shared" si="0"/>
        <v>48</v>
      </c>
      <c r="O13" s="3" t="s">
        <v>41</v>
      </c>
      <c r="P13" s="4">
        <v>6</v>
      </c>
      <c r="Q13" s="4">
        <v>3</v>
      </c>
      <c r="R13" s="4">
        <v>2</v>
      </c>
      <c r="S13" s="3" t="s">
        <v>69</v>
      </c>
      <c r="T13" s="3" t="s">
        <v>71</v>
      </c>
      <c r="U13" s="3" t="s">
        <v>35</v>
      </c>
      <c r="V13" s="2">
        <v>90</v>
      </c>
      <c r="W13" s="2">
        <v>115</v>
      </c>
    </row>
    <row r="14" spans="1:23" x14ac:dyDescent="0.3">
      <c r="A14" s="3" t="s">
        <v>69</v>
      </c>
      <c r="B14" s="3" t="s">
        <v>43</v>
      </c>
      <c r="C14" s="3" t="s">
        <v>72</v>
      </c>
      <c r="D14" s="3" t="s">
        <v>28</v>
      </c>
      <c r="E14" s="3" t="s">
        <v>73</v>
      </c>
      <c r="F14" s="4">
        <v>20</v>
      </c>
      <c r="G14" s="3" t="s">
        <v>30</v>
      </c>
      <c r="H14" s="3" t="s">
        <v>31</v>
      </c>
      <c r="I14" s="5" t="s">
        <v>32</v>
      </c>
      <c r="J14" s="4">
        <v>5</v>
      </c>
      <c r="K14" s="4">
        <v>34</v>
      </c>
      <c r="L14" s="4">
        <v>3</v>
      </c>
      <c r="M14" s="4">
        <v>6</v>
      </c>
      <c r="N14" s="4">
        <f t="shared" si="0"/>
        <v>48</v>
      </c>
      <c r="O14" s="3" t="s">
        <v>46</v>
      </c>
      <c r="P14" s="4">
        <v>6</v>
      </c>
      <c r="Q14" s="4">
        <v>3</v>
      </c>
      <c r="R14" s="4">
        <v>2</v>
      </c>
      <c r="S14" s="3" t="s">
        <v>69</v>
      </c>
      <c r="T14" s="3" t="s">
        <v>74</v>
      </c>
      <c r="U14" s="3" t="s">
        <v>48</v>
      </c>
      <c r="V14" s="2">
        <v>180</v>
      </c>
      <c r="W14" s="2">
        <v>225</v>
      </c>
    </row>
    <row r="15" spans="1:23" x14ac:dyDescent="0.3">
      <c r="A15" s="3" t="s">
        <v>69</v>
      </c>
      <c r="B15" s="3" t="s">
        <v>43</v>
      </c>
      <c r="C15" s="3" t="s">
        <v>75</v>
      </c>
      <c r="D15" s="3" t="s">
        <v>28</v>
      </c>
      <c r="E15" s="3" t="s">
        <v>73</v>
      </c>
      <c r="F15" s="4">
        <v>20</v>
      </c>
      <c r="G15" s="3" t="s">
        <v>30</v>
      </c>
      <c r="H15" s="3" t="s">
        <v>31</v>
      </c>
      <c r="I15" s="5" t="s">
        <v>32</v>
      </c>
      <c r="J15" s="4">
        <v>5</v>
      </c>
      <c r="K15" s="4">
        <v>34</v>
      </c>
      <c r="L15" s="4">
        <v>3</v>
      </c>
      <c r="M15" s="4">
        <v>6</v>
      </c>
      <c r="N15" s="4">
        <f t="shared" si="0"/>
        <v>48</v>
      </c>
      <c r="O15" s="3" t="s">
        <v>46</v>
      </c>
      <c r="P15" s="4">
        <v>6</v>
      </c>
      <c r="Q15" s="4">
        <v>3</v>
      </c>
      <c r="R15" s="4">
        <v>2</v>
      </c>
      <c r="S15" s="3" t="s">
        <v>69</v>
      </c>
      <c r="T15" s="3" t="s">
        <v>76</v>
      </c>
      <c r="U15" s="3" t="s">
        <v>48</v>
      </c>
      <c r="V15" s="2">
        <v>180</v>
      </c>
      <c r="W15" s="2">
        <v>225</v>
      </c>
    </row>
    <row r="16" spans="1:23" x14ac:dyDescent="0.3">
      <c r="A16" s="3" t="s">
        <v>77</v>
      </c>
      <c r="B16" s="3" t="s">
        <v>78</v>
      </c>
      <c r="C16" s="3" t="s">
        <v>79</v>
      </c>
      <c r="D16" s="3" t="s">
        <v>28</v>
      </c>
      <c r="E16" s="3" t="s">
        <v>80</v>
      </c>
      <c r="F16" s="4">
        <v>20</v>
      </c>
      <c r="G16" s="3" t="s">
        <v>30</v>
      </c>
      <c r="H16" s="3" t="s">
        <v>81</v>
      </c>
      <c r="I16" s="5" t="s">
        <v>32</v>
      </c>
      <c r="J16" s="4">
        <v>5</v>
      </c>
      <c r="K16" s="4">
        <v>34</v>
      </c>
      <c r="L16" s="4">
        <v>3</v>
      </c>
      <c r="M16" s="4">
        <v>6</v>
      </c>
      <c r="N16" s="4">
        <f t="shared" si="0"/>
        <v>48</v>
      </c>
      <c r="O16" s="3" t="s">
        <v>82</v>
      </c>
      <c r="P16" s="4">
        <v>2</v>
      </c>
      <c r="Q16" s="4">
        <v>3</v>
      </c>
      <c r="R16" s="4">
        <v>2</v>
      </c>
      <c r="S16" s="3" t="s">
        <v>77</v>
      </c>
      <c r="T16" s="3" t="s">
        <v>83</v>
      </c>
      <c r="U16" s="3" t="s">
        <v>35</v>
      </c>
      <c r="V16" s="2">
        <v>75</v>
      </c>
      <c r="W16" s="2">
        <v>95</v>
      </c>
    </row>
    <row r="17" spans="1:23" x14ac:dyDescent="0.3">
      <c r="A17" s="3" t="s">
        <v>77</v>
      </c>
      <c r="B17" s="3" t="s">
        <v>78</v>
      </c>
      <c r="C17" s="3" t="s">
        <v>84</v>
      </c>
      <c r="D17" s="3" t="s">
        <v>28</v>
      </c>
      <c r="E17" s="3" t="s">
        <v>85</v>
      </c>
      <c r="F17" s="4">
        <v>20</v>
      </c>
      <c r="G17" s="3" t="s">
        <v>30</v>
      </c>
      <c r="H17" s="3" t="s">
        <v>81</v>
      </c>
      <c r="I17" s="5" t="s">
        <v>32</v>
      </c>
      <c r="J17" s="4">
        <v>5</v>
      </c>
      <c r="K17" s="4">
        <v>34</v>
      </c>
      <c r="L17" s="4">
        <v>3</v>
      </c>
      <c r="M17" s="4">
        <v>6</v>
      </c>
      <c r="N17" s="4">
        <f t="shared" si="0"/>
        <v>48</v>
      </c>
      <c r="O17" s="3" t="s">
        <v>82</v>
      </c>
      <c r="P17" s="4">
        <v>2</v>
      </c>
      <c r="Q17" s="4">
        <v>3</v>
      </c>
      <c r="R17" s="4">
        <v>2</v>
      </c>
      <c r="S17" s="3" t="s">
        <v>77</v>
      </c>
      <c r="T17" s="3" t="s">
        <v>86</v>
      </c>
      <c r="U17" s="3" t="s">
        <v>35</v>
      </c>
      <c r="V17" s="2">
        <v>75</v>
      </c>
      <c r="W17" s="2">
        <v>95</v>
      </c>
    </row>
    <row r="18" spans="1:23" x14ac:dyDescent="0.3">
      <c r="A18" s="3" t="s">
        <v>77</v>
      </c>
      <c r="B18" s="3" t="s">
        <v>78</v>
      </c>
      <c r="C18" s="3" t="s">
        <v>87</v>
      </c>
      <c r="D18" s="3" t="s">
        <v>28</v>
      </c>
      <c r="E18" s="3" t="s">
        <v>88</v>
      </c>
      <c r="F18" s="4">
        <v>20</v>
      </c>
      <c r="G18" s="3" t="s">
        <v>30</v>
      </c>
      <c r="H18" s="3" t="s">
        <v>81</v>
      </c>
      <c r="I18" s="5" t="s">
        <v>32</v>
      </c>
      <c r="J18" s="4">
        <v>5</v>
      </c>
      <c r="K18" s="4">
        <v>34</v>
      </c>
      <c r="L18" s="4">
        <v>3</v>
      </c>
      <c r="M18" s="4">
        <v>6</v>
      </c>
      <c r="N18" s="4">
        <f t="shared" si="0"/>
        <v>48</v>
      </c>
      <c r="O18" s="3" t="s">
        <v>82</v>
      </c>
      <c r="P18" s="4">
        <v>2</v>
      </c>
      <c r="Q18" s="4">
        <v>3</v>
      </c>
      <c r="R18" s="4">
        <v>2</v>
      </c>
      <c r="S18" s="3" t="s">
        <v>77</v>
      </c>
      <c r="T18" s="3" t="s">
        <v>89</v>
      </c>
      <c r="U18" s="3" t="s">
        <v>35</v>
      </c>
      <c r="V18" s="2">
        <v>75</v>
      </c>
      <c r="W18" s="2">
        <v>95</v>
      </c>
    </row>
    <row r="19" spans="1:23" x14ac:dyDescent="0.3">
      <c r="A19" s="3" t="s">
        <v>77</v>
      </c>
      <c r="B19" s="3" t="s">
        <v>90</v>
      </c>
      <c r="C19" s="3" t="s">
        <v>79</v>
      </c>
      <c r="D19" s="3" t="s">
        <v>70</v>
      </c>
      <c r="E19" s="3" t="s">
        <v>80</v>
      </c>
      <c r="F19" s="4">
        <v>20</v>
      </c>
      <c r="G19" s="3" t="s">
        <v>30</v>
      </c>
      <c r="H19" s="3" t="s">
        <v>91</v>
      </c>
      <c r="I19" s="5" t="s">
        <v>32</v>
      </c>
      <c r="J19" s="4">
        <v>5</v>
      </c>
      <c r="K19" s="4">
        <v>34</v>
      </c>
      <c r="L19" s="4">
        <v>3</v>
      </c>
      <c r="M19" s="4">
        <v>6</v>
      </c>
      <c r="N19" s="4">
        <f t="shared" si="0"/>
        <v>48</v>
      </c>
      <c r="O19" s="3" t="s">
        <v>92</v>
      </c>
      <c r="P19" s="4">
        <v>2</v>
      </c>
      <c r="Q19" s="4">
        <v>3</v>
      </c>
      <c r="R19" s="4">
        <v>2</v>
      </c>
      <c r="S19" s="3" t="s">
        <v>77</v>
      </c>
      <c r="T19" s="3" t="s">
        <v>93</v>
      </c>
      <c r="U19" s="3" t="s">
        <v>35</v>
      </c>
      <c r="V19" s="2">
        <v>105</v>
      </c>
      <c r="W19" s="2">
        <v>135</v>
      </c>
    </row>
    <row r="20" spans="1:23" x14ac:dyDescent="0.3">
      <c r="A20" s="3" t="s">
        <v>77</v>
      </c>
      <c r="B20" s="3" t="s">
        <v>90</v>
      </c>
      <c r="C20" s="3" t="s">
        <v>84</v>
      </c>
      <c r="D20" s="3" t="s">
        <v>70</v>
      </c>
      <c r="E20" s="3" t="s">
        <v>85</v>
      </c>
      <c r="F20" s="4">
        <v>20</v>
      </c>
      <c r="G20" s="3" t="s">
        <v>30</v>
      </c>
      <c r="H20" s="3" t="s">
        <v>91</v>
      </c>
      <c r="I20" s="5" t="s">
        <v>32</v>
      </c>
      <c r="J20" s="4">
        <v>5</v>
      </c>
      <c r="K20" s="4">
        <v>34</v>
      </c>
      <c r="L20" s="4">
        <v>3</v>
      </c>
      <c r="M20" s="4">
        <v>6</v>
      </c>
      <c r="N20" s="4">
        <f t="shared" si="0"/>
        <v>48</v>
      </c>
      <c r="O20" s="3" t="s">
        <v>92</v>
      </c>
      <c r="P20" s="4">
        <v>2</v>
      </c>
      <c r="Q20" s="4">
        <v>3</v>
      </c>
      <c r="R20" s="4">
        <v>2</v>
      </c>
      <c r="S20" s="3" t="s">
        <v>77</v>
      </c>
      <c r="T20" s="3" t="s">
        <v>94</v>
      </c>
      <c r="U20" s="3" t="s">
        <v>35</v>
      </c>
      <c r="V20" s="2">
        <v>105</v>
      </c>
      <c r="W20" s="2">
        <v>135</v>
      </c>
    </row>
    <row r="21" spans="1:23" x14ac:dyDescent="0.3">
      <c r="A21" s="3" t="s">
        <v>77</v>
      </c>
      <c r="B21" s="3" t="s">
        <v>90</v>
      </c>
      <c r="C21" s="3" t="s">
        <v>87</v>
      </c>
      <c r="D21" s="3" t="s">
        <v>70</v>
      </c>
      <c r="E21" s="3" t="s">
        <v>88</v>
      </c>
      <c r="F21" s="4">
        <v>20</v>
      </c>
      <c r="G21" s="3" t="s">
        <v>30</v>
      </c>
      <c r="H21" s="3" t="s">
        <v>91</v>
      </c>
      <c r="I21" s="5" t="s">
        <v>32</v>
      </c>
      <c r="J21" s="4">
        <v>5</v>
      </c>
      <c r="K21" s="4">
        <v>34</v>
      </c>
      <c r="L21" s="4">
        <v>3</v>
      </c>
      <c r="M21" s="4">
        <v>6</v>
      </c>
      <c r="N21" s="4">
        <f t="shared" si="0"/>
        <v>48</v>
      </c>
      <c r="O21" s="3" t="s">
        <v>92</v>
      </c>
      <c r="P21" s="4">
        <v>2</v>
      </c>
      <c r="Q21" s="4">
        <v>3</v>
      </c>
      <c r="R21" s="4">
        <v>2</v>
      </c>
      <c r="S21" s="3" t="s">
        <v>77</v>
      </c>
      <c r="T21" s="3" t="s">
        <v>95</v>
      </c>
      <c r="U21" s="3" t="s">
        <v>35</v>
      </c>
      <c r="V21" s="2">
        <v>105</v>
      </c>
      <c r="W21" s="2">
        <v>135</v>
      </c>
    </row>
    <row r="22" spans="1:23" x14ac:dyDescent="0.3">
      <c r="A22" s="3" t="s">
        <v>77</v>
      </c>
      <c r="B22" s="3" t="s">
        <v>96</v>
      </c>
      <c r="C22" s="3" t="s">
        <v>97</v>
      </c>
      <c r="D22" s="3" t="s">
        <v>28</v>
      </c>
      <c r="E22" s="3" t="s">
        <v>98</v>
      </c>
      <c r="F22" s="4">
        <v>20</v>
      </c>
      <c r="G22" s="3" t="s">
        <v>30</v>
      </c>
      <c r="H22" s="3" t="s">
        <v>99</v>
      </c>
      <c r="I22" s="5" t="s">
        <v>32</v>
      </c>
      <c r="J22" s="4">
        <v>5</v>
      </c>
      <c r="K22" s="4">
        <v>34</v>
      </c>
      <c r="L22" s="4">
        <v>3</v>
      </c>
      <c r="M22" s="4">
        <v>6</v>
      </c>
      <c r="N22" s="4">
        <f t="shared" si="0"/>
        <v>48</v>
      </c>
      <c r="O22" s="3" t="s">
        <v>100</v>
      </c>
      <c r="P22" s="4">
        <v>2</v>
      </c>
      <c r="Q22" s="4">
        <v>3</v>
      </c>
      <c r="R22" s="4">
        <v>2</v>
      </c>
      <c r="S22" s="3" t="s">
        <v>77</v>
      </c>
      <c r="T22" s="3" t="s">
        <v>101</v>
      </c>
      <c r="U22" s="3" t="s">
        <v>48</v>
      </c>
      <c r="V22" s="2">
        <v>150</v>
      </c>
      <c r="W22" s="2">
        <v>190</v>
      </c>
    </row>
    <row r="23" spans="1:23" x14ac:dyDescent="0.3">
      <c r="A23" s="3" t="s">
        <v>77</v>
      </c>
      <c r="B23" s="3" t="s">
        <v>43</v>
      </c>
      <c r="C23" s="3" t="s">
        <v>102</v>
      </c>
      <c r="D23" s="3" t="s">
        <v>28</v>
      </c>
      <c r="E23" s="3" t="s">
        <v>98</v>
      </c>
      <c r="F23" s="4">
        <v>20</v>
      </c>
      <c r="G23" s="3" t="s">
        <v>30</v>
      </c>
      <c r="H23" s="3" t="s">
        <v>31</v>
      </c>
      <c r="I23" s="5" t="s">
        <v>32</v>
      </c>
      <c r="J23" s="4">
        <v>5</v>
      </c>
      <c r="K23" s="4">
        <v>34</v>
      </c>
      <c r="L23" s="4">
        <v>3</v>
      </c>
      <c r="M23" s="4">
        <v>6</v>
      </c>
      <c r="N23" s="4">
        <f t="shared" si="0"/>
        <v>48</v>
      </c>
      <c r="O23" s="3" t="s">
        <v>46</v>
      </c>
      <c r="P23" s="4">
        <v>2</v>
      </c>
      <c r="Q23" s="4">
        <v>3</v>
      </c>
      <c r="R23" s="4">
        <v>2</v>
      </c>
      <c r="S23" s="3" t="s">
        <v>77</v>
      </c>
      <c r="T23" s="3" t="s">
        <v>103</v>
      </c>
      <c r="U23" s="3" t="s">
        <v>48</v>
      </c>
      <c r="V23" s="2">
        <v>180</v>
      </c>
      <c r="W23" s="2">
        <v>225</v>
      </c>
    </row>
    <row r="24" spans="1:23" x14ac:dyDescent="0.3">
      <c r="A24" s="3" t="s">
        <v>104</v>
      </c>
      <c r="B24" s="3" t="s">
        <v>59</v>
      </c>
      <c r="C24" s="3" t="s">
        <v>64</v>
      </c>
      <c r="D24" s="3" t="s">
        <v>70</v>
      </c>
      <c r="E24" s="3" t="s">
        <v>61</v>
      </c>
      <c r="F24" s="4">
        <v>20</v>
      </c>
      <c r="G24" s="3" t="s">
        <v>30</v>
      </c>
      <c r="H24" s="3" t="s">
        <v>31</v>
      </c>
      <c r="I24" s="5" t="s">
        <v>32</v>
      </c>
      <c r="J24" s="4">
        <v>5</v>
      </c>
      <c r="K24" s="4">
        <v>34</v>
      </c>
      <c r="L24" s="4">
        <v>3</v>
      </c>
      <c r="M24" s="4">
        <v>6</v>
      </c>
      <c r="N24" s="4">
        <f t="shared" si="0"/>
        <v>48</v>
      </c>
      <c r="O24" s="3" t="s">
        <v>62</v>
      </c>
      <c r="P24" s="4">
        <v>6</v>
      </c>
      <c r="Q24" s="4">
        <v>3</v>
      </c>
      <c r="R24" s="4">
        <v>2</v>
      </c>
      <c r="S24" s="3" t="s">
        <v>104</v>
      </c>
      <c r="T24" s="3" t="s">
        <v>105</v>
      </c>
      <c r="U24" s="3" t="s">
        <v>35</v>
      </c>
      <c r="V24" s="2">
        <v>180</v>
      </c>
      <c r="W24" s="2">
        <v>225</v>
      </c>
    </row>
    <row r="25" spans="1:23" x14ac:dyDescent="0.3">
      <c r="A25" s="3" t="s">
        <v>104</v>
      </c>
      <c r="B25" s="3" t="s">
        <v>106</v>
      </c>
      <c r="C25" s="3" t="s">
        <v>66</v>
      </c>
      <c r="D25" s="3" t="s">
        <v>70</v>
      </c>
      <c r="E25" s="3" t="s">
        <v>67</v>
      </c>
      <c r="F25" s="4">
        <v>20</v>
      </c>
      <c r="G25" s="3" t="s">
        <v>30</v>
      </c>
      <c r="H25" s="3" t="s">
        <v>107</v>
      </c>
      <c r="I25" s="5" t="s">
        <v>32</v>
      </c>
      <c r="J25" s="4">
        <v>5</v>
      </c>
      <c r="K25" s="4">
        <v>34</v>
      </c>
      <c r="L25" s="4">
        <v>3</v>
      </c>
      <c r="M25" s="4">
        <v>6</v>
      </c>
      <c r="N25" s="4">
        <f t="shared" si="0"/>
        <v>48</v>
      </c>
      <c r="O25" s="3" t="s">
        <v>108</v>
      </c>
      <c r="P25" s="4">
        <v>6</v>
      </c>
      <c r="Q25" s="4">
        <v>3</v>
      </c>
      <c r="R25" s="4">
        <v>2</v>
      </c>
      <c r="S25" s="3" t="s">
        <v>104</v>
      </c>
      <c r="T25" s="3" t="s">
        <v>109</v>
      </c>
      <c r="U25" s="3" t="s">
        <v>48</v>
      </c>
      <c r="V25" s="2">
        <v>120</v>
      </c>
      <c r="W25" s="2">
        <v>150</v>
      </c>
    </row>
    <row r="26" spans="1:23" x14ac:dyDescent="0.3">
      <c r="A26" s="3" t="s">
        <v>110</v>
      </c>
      <c r="B26" s="3" t="s">
        <v>111</v>
      </c>
      <c r="C26" s="3" t="s">
        <v>112</v>
      </c>
      <c r="D26" s="3" t="s">
        <v>70</v>
      </c>
      <c r="E26" s="3" t="s">
        <v>113</v>
      </c>
      <c r="F26" s="4">
        <v>20</v>
      </c>
      <c r="G26" s="3" t="s">
        <v>30</v>
      </c>
      <c r="H26" s="3" t="s">
        <v>107</v>
      </c>
      <c r="I26" s="5" t="s">
        <v>32</v>
      </c>
      <c r="J26" s="4">
        <v>5</v>
      </c>
      <c r="K26" s="4">
        <v>34</v>
      </c>
      <c r="L26" s="4">
        <v>3</v>
      </c>
      <c r="M26" s="4">
        <v>6</v>
      </c>
      <c r="N26" s="4">
        <f t="shared" si="0"/>
        <v>48</v>
      </c>
      <c r="O26" s="3" t="s">
        <v>114</v>
      </c>
      <c r="P26" s="4">
        <v>6</v>
      </c>
      <c r="Q26" s="4">
        <v>3</v>
      </c>
      <c r="R26" s="4">
        <v>2</v>
      </c>
      <c r="S26" s="3" t="s">
        <v>110</v>
      </c>
      <c r="T26" s="3" t="s">
        <v>115</v>
      </c>
      <c r="U26" s="3" t="s">
        <v>48</v>
      </c>
      <c r="V26" s="2">
        <v>120</v>
      </c>
      <c r="W26" s="2">
        <v>150</v>
      </c>
    </row>
    <row r="27" spans="1:23" x14ac:dyDescent="0.3">
      <c r="A27" s="3" t="s">
        <v>110</v>
      </c>
      <c r="B27" s="3" t="s">
        <v>111</v>
      </c>
      <c r="C27" s="3" t="s">
        <v>116</v>
      </c>
      <c r="D27" s="3" t="s">
        <v>70</v>
      </c>
      <c r="E27" s="3" t="s">
        <v>113</v>
      </c>
      <c r="F27" s="4">
        <v>20</v>
      </c>
      <c r="G27" s="3" t="s">
        <v>30</v>
      </c>
      <c r="H27" s="3" t="s">
        <v>107</v>
      </c>
      <c r="I27" s="5" t="s">
        <v>32</v>
      </c>
      <c r="J27" s="4">
        <v>5</v>
      </c>
      <c r="K27" s="4">
        <v>34</v>
      </c>
      <c r="L27" s="4">
        <v>3</v>
      </c>
      <c r="M27" s="4">
        <v>6</v>
      </c>
      <c r="N27" s="4">
        <f t="shared" si="0"/>
        <v>48</v>
      </c>
      <c r="O27" s="3" t="s">
        <v>114</v>
      </c>
      <c r="P27" s="4">
        <v>6</v>
      </c>
      <c r="Q27" s="4">
        <v>3</v>
      </c>
      <c r="R27" s="4">
        <v>2</v>
      </c>
      <c r="S27" s="3" t="s">
        <v>110</v>
      </c>
      <c r="T27" s="3" t="s">
        <v>117</v>
      </c>
      <c r="U27" s="3" t="s">
        <v>48</v>
      </c>
      <c r="V27" s="2">
        <v>120</v>
      </c>
      <c r="W27" s="2">
        <v>150</v>
      </c>
    </row>
    <row r="28" spans="1:23" x14ac:dyDescent="0.3">
      <c r="A28" s="3" t="s">
        <v>118</v>
      </c>
      <c r="B28" s="3" t="s">
        <v>59</v>
      </c>
      <c r="C28" s="3" t="s">
        <v>75</v>
      </c>
      <c r="D28" s="3" t="s">
        <v>70</v>
      </c>
      <c r="E28" s="3" t="s">
        <v>73</v>
      </c>
      <c r="F28" s="4">
        <v>20</v>
      </c>
      <c r="G28" s="3" t="s">
        <v>30</v>
      </c>
      <c r="H28" s="3" t="s">
        <v>31</v>
      </c>
      <c r="I28" s="5" t="s">
        <v>32</v>
      </c>
      <c r="J28" s="4">
        <v>5</v>
      </c>
      <c r="K28" s="4">
        <v>34</v>
      </c>
      <c r="L28" s="4">
        <v>3</v>
      </c>
      <c r="M28" s="4">
        <v>6</v>
      </c>
      <c r="N28" s="4">
        <f t="shared" si="0"/>
        <v>48</v>
      </c>
      <c r="O28" s="3" t="s">
        <v>62</v>
      </c>
      <c r="P28" s="4">
        <v>6</v>
      </c>
      <c r="Q28" s="4">
        <v>3</v>
      </c>
      <c r="R28" s="4">
        <v>2</v>
      </c>
      <c r="S28" s="3" t="s">
        <v>118</v>
      </c>
      <c r="T28" s="3" t="s">
        <v>119</v>
      </c>
      <c r="U28" s="3" t="s">
        <v>35</v>
      </c>
      <c r="V28" s="2">
        <v>180</v>
      </c>
      <c r="W28" s="2">
        <v>225</v>
      </c>
    </row>
    <row r="29" spans="1:23" x14ac:dyDescent="0.3">
      <c r="A29" s="3" t="s">
        <v>118</v>
      </c>
      <c r="B29" s="3" t="s">
        <v>43</v>
      </c>
      <c r="C29" s="3" t="s">
        <v>120</v>
      </c>
      <c r="D29" s="3" t="s">
        <v>28</v>
      </c>
      <c r="E29" s="3" t="s">
        <v>121</v>
      </c>
      <c r="F29" s="4">
        <v>20</v>
      </c>
      <c r="G29" s="3" t="s">
        <v>30</v>
      </c>
      <c r="H29" s="3" t="s">
        <v>31</v>
      </c>
      <c r="I29" s="5" t="s">
        <v>32</v>
      </c>
      <c r="J29" s="4">
        <v>5</v>
      </c>
      <c r="K29" s="4">
        <v>34</v>
      </c>
      <c r="L29" s="4">
        <v>3</v>
      </c>
      <c r="M29" s="4">
        <v>6</v>
      </c>
      <c r="N29" s="4">
        <f t="shared" si="0"/>
        <v>48</v>
      </c>
      <c r="O29" s="3" t="s">
        <v>46</v>
      </c>
      <c r="P29" s="4">
        <v>6</v>
      </c>
      <c r="Q29" s="4">
        <v>3</v>
      </c>
      <c r="R29" s="4">
        <v>2</v>
      </c>
      <c r="S29" s="3" t="s">
        <v>118</v>
      </c>
      <c r="T29" s="3" t="s">
        <v>122</v>
      </c>
      <c r="U29" s="3" t="s">
        <v>48</v>
      </c>
      <c r="V29" s="2">
        <v>180</v>
      </c>
      <c r="W29" s="2">
        <v>225</v>
      </c>
    </row>
    <row r="30" spans="1:23" x14ac:dyDescent="0.3">
      <c r="A30" s="3" t="s">
        <v>123</v>
      </c>
      <c r="B30" s="3" t="s">
        <v>124</v>
      </c>
      <c r="C30" s="3" t="s">
        <v>116</v>
      </c>
      <c r="D30" s="3" t="s">
        <v>125</v>
      </c>
      <c r="E30" s="3" t="s">
        <v>113</v>
      </c>
      <c r="F30" s="4">
        <v>20</v>
      </c>
      <c r="G30" s="3" t="s">
        <v>30</v>
      </c>
      <c r="H30" s="3" t="s">
        <v>107</v>
      </c>
      <c r="I30" s="5" t="s">
        <v>32</v>
      </c>
      <c r="J30" s="4">
        <v>5</v>
      </c>
      <c r="K30" s="4">
        <v>34</v>
      </c>
      <c r="L30" s="4">
        <v>3</v>
      </c>
      <c r="M30" s="4">
        <v>6</v>
      </c>
      <c r="N30" s="4">
        <f t="shared" si="0"/>
        <v>48</v>
      </c>
      <c r="O30" s="3" t="s">
        <v>126</v>
      </c>
      <c r="P30" s="4">
        <v>6</v>
      </c>
      <c r="Q30" s="4">
        <v>3</v>
      </c>
      <c r="R30" s="4">
        <v>2</v>
      </c>
      <c r="S30" s="3" t="s">
        <v>123</v>
      </c>
      <c r="T30" s="3" t="s">
        <v>127</v>
      </c>
      <c r="U30" s="3" t="s">
        <v>35</v>
      </c>
      <c r="V30" s="2">
        <v>120</v>
      </c>
      <c r="W30" s="2">
        <v>150</v>
      </c>
    </row>
    <row r="31" spans="1:23" x14ac:dyDescent="0.3">
      <c r="A31" s="3" t="s">
        <v>123</v>
      </c>
      <c r="B31" s="3" t="s">
        <v>43</v>
      </c>
      <c r="C31" s="3" t="s">
        <v>79</v>
      </c>
      <c r="D31" s="3" t="s">
        <v>125</v>
      </c>
      <c r="E31" s="3" t="s">
        <v>80</v>
      </c>
      <c r="F31" s="4">
        <v>20</v>
      </c>
      <c r="G31" s="3" t="s">
        <v>30</v>
      </c>
      <c r="H31" s="3" t="s">
        <v>31</v>
      </c>
      <c r="I31" s="5" t="s">
        <v>32</v>
      </c>
      <c r="J31" s="4">
        <v>5</v>
      </c>
      <c r="K31" s="4">
        <v>34</v>
      </c>
      <c r="L31" s="4">
        <v>3</v>
      </c>
      <c r="M31" s="4">
        <v>6</v>
      </c>
      <c r="N31" s="4">
        <f t="shared" si="0"/>
        <v>48</v>
      </c>
      <c r="O31" s="3" t="s">
        <v>46</v>
      </c>
      <c r="P31" s="4">
        <v>2</v>
      </c>
      <c r="Q31" s="4">
        <v>3</v>
      </c>
      <c r="R31" s="4">
        <v>2</v>
      </c>
      <c r="S31" s="3" t="s">
        <v>123</v>
      </c>
      <c r="T31" s="3" t="s">
        <v>128</v>
      </c>
      <c r="U31" s="3" t="s">
        <v>48</v>
      </c>
      <c r="V31" s="2">
        <v>180</v>
      </c>
      <c r="W31" s="2">
        <v>225</v>
      </c>
    </row>
    <row r="32" spans="1:23" x14ac:dyDescent="0.3">
      <c r="A32" s="3" t="s">
        <v>123</v>
      </c>
      <c r="B32" s="3" t="s">
        <v>43</v>
      </c>
      <c r="C32" s="3" t="s">
        <v>84</v>
      </c>
      <c r="D32" s="3" t="s">
        <v>125</v>
      </c>
      <c r="E32" s="3" t="s">
        <v>85</v>
      </c>
      <c r="F32" s="4">
        <v>20</v>
      </c>
      <c r="G32" s="3" t="s">
        <v>30</v>
      </c>
      <c r="H32" s="3" t="s">
        <v>31</v>
      </c>
      <c r="I32" s="5" t="s">
        <v>32</v>
      </c>
      <c r="J32" s="4">
        <v>5</v>
      </c>
      <c r="K32" s="4">
        <v>34</v>
      </c>
      <c r="L32" s="4">
        <v>3</v>
      </c>
      <c r="M32" s="4">
        <v>6</v>
      </c>
      <c r="N32" s="4">
        <f t="shared" si="0"/>
        <v>48</v>
      </c>
      <c r="O32" s="3" t="s">
        <v>46</v>
      </c>
      <c r="P32" s="4">
        <v>2</v>
      </c>
      <c r="Q32" s="4">
        <v>3</v>
      </c>
      <c r="R32" s="4">
        <v>2</v>
      </c>
      <c r="S32" s="3" t="s">
        <v>123</v>
      </c>
      <c r="T32" s="3" t="s">
        <v>129</v>
      </c>
      <c r="U32" s="3" t="s">
        <v>48</v>
      </c>
      <c r="V32" s="2">
        <v>180</v>
      </c>
      <c r="W32" s="2">
        <v>225</v>
      </c>
    </row>
    <row r="33" spans="1:23" x14ac:dyDescent="0.3">
      <c r="A33" s="3" t="s">
        <v>123</v>
      </c>
      <c r="B33" s="3" t="s">
        <v>43</v>
      </c>
      <c r="C33" s="3" t="s">
        <v>87</v>
      </c>
      <c r="D33" s="3" t="s">
        <v>125</v>
      </c>
      <c r="E33" s="3" t="s">
        <v>88</v>
      </c>
      <c r="F33" s="4">
        <v>20</v>
      </c>
      <c r="G33" s="3" t="s">
        <v>30</v>
      </c>
      <c r="H33" s="3" t="s">
        <v>31</v>
      </c>
      <c r="I33" s="5" t="s">
        <v>32</v>
      </c>
      <c r="J33" s="4">
        <v>5</v>
      </c>
      <c r="K33" s="4">
        <v>34</v>
      </c>
      <c r="L33" s="4">
        <v>3</v>
      </c>
      <c r="M33" s="4">
        <v>6</v>
      </c>
      <c r="N33" s="4">
        <f t="shared" si="0"/>
        <v>48</v>
      </c>
      <c r="O33" s="3" t="s">
        <v>46</v>
      </c>
      <c r="P33" s="4">
        <v>2</v>
      </c>
      <c r="Q33" s="4">
        <v>3</v>
      </c>
      <c r="R33" s="4">
        <v>2</v>
      </c>
      <c r="S33" s="3" t="s">
        <v>123</v>
      </c>
      <c r="T33" s="3" t="s">
        <v>130</v>
      </c>
      <c r="U33" s="3" t="s">
        <v>48</v>
      </c>
      <c r="V33" s="2">
        <v>180</v>
      </c>
      <c r="W33" s="2">
        <v>225</v>
      </c>
    </row>
    <row r="34" spans="1:23" x14ac:dyDescent="0.3">
      <c r="A34" s="3" t="s">
        <v>131</v>
      </c>
      <c r="B34" s="3" t="s">
        <v>124</v>
      </c>
      <c r="C34" s="3" t="s">
        <v>132</v>
      </c>
      <c r="D34" s="3" t="s">
        <v>70</v>
      </c>
      <c r="E34" s="3" t="s">
        <v>133</v>
      </c>
      <c r="F34" s="4">
        <v>20</v>
      </c>
      <c r="G34" s="3" t="s">
        <v>30</v>
      </c>
      <c r="H34" s="3" t="s">
        <v>107</v>
      </c>
      <c r="I34" s="5" t="s">
        <v>32</v>
      </c>
      <c r="J34" s="4">
        <v>5</v>
      </c>
      <c r="K34" s="4">
        <v>34</v>
      </c>
      <c r="L34" s="4">
        <v>3</v>
      </c>
      <c r="M34" s="4">
        <v>6</v>
      </c>
      <c r="N34" s="4">
        <f t="shared" si="0"/>
        <v>48</v>
      </c>
      <c r="O34" s="3" t="s">
        <v>126</v>
      </c>
      <c r="P34" s="4">
        <v>2</v>
      </c>
      <c r="Q34" s="4">
        <v>3</v>
      </c>
      <c r="R34" s="4">
        <v>2</v>
      </c>
      <c r="S34" s="3" t="s">
        <v>131</v>
      </c>
      <c r="T34" s="3" t="s">
        <v>134</v>
      </c>
      <c r="U34" s="3" t="s">
        <v>35</v>
      </c>
      <c r="V34" s="2">
        <v>120</v>
      </c>
      <c r="W34" s="2">
        <v>150</v>
      </c>
    </row>
    <row r="35" spans="1:23" x14ac:dyDescent="0.3">
      <c r="A35" s="3" t="s">
        <v>131</v>
      </c>
      <c r="B35" s="3" t="s">
        <v>124</v>
      </c>
      <c r="C35" s="3" t="s">
        <v>135</v>
      </c>
      <c r="D35" s="3" t="s">
        <v>70</v>
      </c>
      <c r="E35" s="3" t="s">
        <v>133</v>
      </c>
      <c r="F35" s="4">
        <v>20</v>
      </c>
      <c r="G35" s="3" t="s">
        <v>30</v>
      </c>
      <c r="H35" s="3" t="s">
        <v>107</v>
      </c>
      <c r="I35" s="5" t="s">
        <v>32</v>
      </c>
      <c r="J35" s="4">
        <v>5</v>
      </c>
      <c r="K35" s="4">
        <v>34</v>
      </c>
      <c r="L35" s="4">
        <v>3</v>
      </c>
      <c r="M35" s="4">
        <v>6</v>
      </c>
      <c r="N35" s="4">
        <f t="shared" si="0"/>
        <v>48</v>
      </c>
      <c r="O35" s="3" t="s">
        <v>126</v>
      </c>
      <c r="P35" s="4">
        <v>2</v>
      </c>
      <c r="Q35" s="4">
        <v>3</v>
      </c>
      <c r="R35" s="4">
        <v>2</v>
      </c>
      <c r="S35" s="3" t="s">
        <v>131</v>
      </c>
      <c r="T35" s="3" t="s">
        <v>136</v>
      </c>
      <c r="U35" s="3" t="s">
        <v>35</v>
      </c>
      <c r="V35" s="2">
        <v>120</v>
      </c>
      <c r="W35" s="2">
        <v>150</v>
      </c>
    </row>
    <row r="36" spans="1:23" x14ac:dyDescent="0.3">
      <c r="A36" s="3" t="s">
        <v>137</v>
      </c>
      <c r="B36" s="3" t="s">
        <v>138</v>
      </c>
      <c r="C36" s="3" t="s">
        <v>97</v>
      </c>
      <c r="D36" s="3" t="s">
        <v>70</v>
      </c>
      <c r="E36" s="3" t="s">
        <v>98</v>
      </c>
      <c r="F36" s="4">
        <v>20</v>
      </c>
      <c r="G36" s="3" t="s">
        <v>30</v>
      </c>
      <c r="H36" s="3" t="s">
        <v>99</v>
      </c>
      <c r="I36" s="5" t="s">
        <v>32</v>
      </c>
      <c r="J36" s="4">
        <v>5</v>
      </c>
      <c r="K36" s="4">
        <v>34</v>
      </c>
      <c r="L36" s="4">
        <v>3</v>
      </c>
      <c r="M36" s="4">
        <v>6</v>
      </c>
      <c r="N36" s="4">
        <f t="shared" ref="N36:N59" si="1">SUM(J36:M36)</f>
        <v>48</v>
      </c>
      <c r="O36" s="3" t="s">
        <v>139</v>
      </c>
      <c r="P36" s="4">
        <v>2</v>
      </c>
      <c r="Q36" s="4">
        <v>3</v>
      </c>
      <c r="R36" s="4">
        <v>2</v>
      </c>
      <c r="S36" s="3" t="s">
        <v>137</v>
      </c>
      <c r="T36" s="3" t="s">
        <v>140</v>
      </c>
      <c r="U36" s="3" t="s">
        <v>35</v>
      </c>
      <c r="V36" s="2">
        <v>150</v>
      </c>
      <c r="W36" s="2">
        <v>190</v>
      </c>
    </row>
    <row r="37" spans="1:23" x14ac:dyDescent="0.3">
      <c r="A37" s="3" t="s">
        <v>137</v>
      </c>
      <c r="B37" s="3" t="s">
        <v>141</v>
      </c>
      <c r="C37" s="3" t="s">
        <v>142</v>
      </c>
      <c r="D37" s="3" t="s">
        <v>28</v>
      </c>
      <c r="E37" s="3" t="s">
        <v>143</v>
      </c>
      <c r="F37" s="4">
        <v>20</v>
      </c>
      <c r="G37" s="3" t="s">
        <v>30</v>
      </c>
      <c r="H37" s="3" t="s">
        <v>31</v>
      </c>
      <c r="I37" s="5" t="s">
        <v>32</v>
      </c>
      <c r="J37" s="4">
        <v>5</v>
      </c>
      <c r="K37" s="4">
        <v>34</v>
      </c>
      <c r="L37" s="4">
        <v>3</v>
      </c>
      <c r="M37" s="4">
        <v>6</v>
      </c>
      <c r="N37" s="4">
        <f t="shared" si="1"/>
        <v>48</v>
      </c>
      <c r="O37" s="3" t="s">
        <v>144</v>
      </c>
      <c r="P37" s="4">
        <v>2</v>
      </c>
      <c r="Q37" s="4">
        <v>3</v>
      </c>
      <c r="R37" s="4">
        <v>2</v>
      </c>
      <c r="S37" s="3" t="s">
        <v>137</v>
      </c>
      <c r="T37" s="3" t="s">
        <v>145</v>
      </c>
      <c r="U37" s="3" t="s">
        <v>48</v>
      </c>
      <c r="V37" s="2">
        <v>180</v>
      </c>
      <c r="W37" s="2">
        <v>225</v>
      </c>
    </row>
    <row r="38" spans="1:23" x14ac:dyDescent="0.3">
      <c r="A38" s="3" t="s">
        <v>137</v>
      </c>
      <c r="B38" s="3" t="s">
        <v>141</v>
      </c>
      <c r="C38" s="3" t="s">
        <v>146</v>
      </c>
      <c r="D38" s="3" t="s">
        <v>28</v>
      </c>
      <c r="E38" s="3" t="s">
        <v>147</v>
      </c>
      <c r="F38" s="4">
        <v>20</v>
      </c>
      <c r="G38" s="3" t="s">
        <v>30</v>
      </c>
      <c r="H38" s="3" t="s">
        <v>31</v>
      </c>
      <c r="I38" s="5" t="s">
        <v>32</v>
      </c>
      <c r="J38" s="4">
        <v>5</v>
      </c>
      <c r="K38" s="4">
        <v>34</v>
      </c>
      <c r="L38" s="4">
        <v>3</v>
      </c>
      <c r="M38" s="4">
        <v>6</v>
      </c>
      <c r="N38" s="4">
        <f t="shared" si="1"/>
        <v>48</v>
      </c>
      <c r="O38" s="3" t="s">
        <v>144</v>
      </c>
      <c r="P38" s="4">
        <v>2</v>
      </c>
      <c r="Q38" s="4">
        <v>3</v>
      </c>
      <c r="R38" s="4">
        <v>2</v>
      </c>
      <c r="S38" s="3" t="s">
        <v>137</v>
      </c>
      <c r="T38" s="3" t="s">
        <v>148</v>
      </c>
      <c r="U38" s="3" t="s">
        <v>48</v>
      </c>
      <c r="V38" s="2">
        <v>180</v>
      </c>
      <c r="W38" s="2">
        <v>225</v>
      </c>
    </row>
    <row r="39" spans="1:23" x14ac:dyDescent="0.3">
      <c r="A39" s="3" t="s">
        <v>149</v>
      </c>
      <c r="B39" s="3" t="s">
        <v>59</v>
      </c>
      <c r="C39" s="3" t="s">
        <v>150</v>
      </c>
      <c r="D39" s="3" t="s">
        <v>28</v>
      </c>
      <c r="E39" s="3" t="s">
        <v>151</v>
      </c>
      <c r="F39" s="4">
        <v>20</v>
      </c>
      <c r="G39" s="3" t="s">
        <v>30</v>
      </c>
      <c r="H39" s="3" t="s">
        <v>31</v>
      </c>
      <c r="I39" s="5" t="s">
        <v>32</v>
      </c>
      <c r="J39" s="4">
        <v>5</v>
      </c>
      <c r="K39" s="4">
        <v>34</v>
      </c>
      <c r="L39" s="4">
        <v>3</v>
      </c>
      <c r="M39" s="4">
        <v>6</v>
      </c>
      <c r="N39" s="4">
        <f t="shared" si="1"/>
        <v>48</v>
      </c>
      <c r="O39" s="3" t="s">
        <v>62</v>
      </c>
      <c r="P39" s="4">
        <v>2</v>
      </c>
      <c r="Q39" s="4">
        <v>3</v>
      </c>
      <c r="R39" s="4">
        <v>2</v>
      </c>
      <c r="S39" s="3" t="s">
        <v>149</v>
      </c>
      <c r="T39" s="3" t="s">
        <v>152</v>
      </c>
      <c r="U39" s="3" t="s">
        <v>35</v>
      </c>
      <c r="V39" s="2">
        <v>180</v>
      </c>
      <c r="W39" s="2">
        <v>225</v>
      </c>
    </row>
    <row r="40" spans="1:23" x14ac:dyDescent="0.3">
      <c r="A40" s="3" t="s">
        <v>149</v>
      </c>
      <c r="B40" s="3" t="s">
        <v>111</v>
      </c>
      <c r="C40" s="3" t="s">
        <v>135</v>
      </c>
      <c r="D40" s="3" t="s">
        <v>125</v>
      </c>
      <c r="E40" s="3" t="s">
        <v>133</v>
      </c>
      <c r="F40" s="4">
        <v>20</v>
      </c>
      <c r="G40" s="3" t="s">
        <v>30</v>
      </c>
      <c r="H40" s="3" t="s">
        <v>107</v>
      </c>
      <c r="I40" s="5" t="s">
        <v>32</v>
      </c>
      <c r="J40" s="4">
        <v>5</v>
      </c>
      <c r="K40" s="4">
        <v>34</v>
      </c>
      <c r="L40" s="4">
        <v>3</v>
      </c>
      <c r="M40" s="4">
        <v>6</v>
      </c>
      <c r="N40" s="4">
        <f t="shared" si="1"/>
        <v>48</v>
      </c>
      <c r="O40" s="3" t="s">
        <v>114</v>
      </c>
      <c r="P40" s="4">
        <v>2</v>
      </c>
      <c r="Q40" s="4">
        <v>3</v>
      </c>
      <c r="R40" s="4">
        <v>2</v>
      </c>
      <c r="S40" s="3" t="s">
        <v>149</v>
      </c>
      <c r="T40" s="3" t="s">
        <v>153</v>
      </c>
      <c r="U40" s="3" t="s">
        <v>48</v>
      </c>
      <c r="V40" s="2">
        <v>120</v>
      </c>
      <c r="W40" s="2">
        <v>150</v>
      </c>
    </row>
    <row r="41" spans="1:23" x14ac:dyDescent="0.3">
      <c r="A41" s="3" t="s">
        <v>154</v>
      </c>
      <c r="B41" s="3" t="s">
        <v>124</v>
      </c>
      <c r="C41" s="3" t="s">
        <v>155</v>
      </c>
      <c r="D41" s="3" t="s">
        <v>70</v>
      </c>
      <c r="E41" s="3" t="s">
        <v>156</v>
      </c>
      <c r="F41" s="4">
        <v>20</v>
      </c>
      <c r="G41" s="3" t="s">
        <v>30</v>
      </c>
      <c r="H41" s="3" t="s">
        <v>107</v>
      </c>
      <c r="I41" s="5" t="s">
        <v>32</v>
      </c>
      <c r="J41" s="4">
        <v>5</v>
      </c>
      <c r="K41" s="4">
        <v>34</v>
      </c>
      <c r="L41" s="4">
        <v>3</v>
      </c>
      <c r="M41" s="4">
        <v>6</v>
      </c>
      <c r="N41" s="4">
        <f t="shared" si="1"/>
        <v>48</v>
      </c>
      <c r="O41" s="3" t="s">
        <v>126</v>
      </c>
      <c r="P41" s="4">
        <v>6</v>
      </c>
      <c r="Q41" s="4">
        <v>3</v>
      </c>
      <c r="R41" s="4">
        <v>2</v>
      </c>
      <c r="S41" s="3" t="s">
        <v>154</v>
      </c>
      <c r="T41" s="3" t="s">
        <v>157</v>
      </c>
      <c r="U41" s="3" t="s">
        <v>35</v>
      </c>
      <c r="V41" s="2">
        <v>120</v>
      </c>
      <c r="W41" s="2">
        <v>150</v>
      </c>
    </row>
    <row r="42" spans="1:23" x14ac:dyDescent="0.3">
      <c r="A42" s="3" t="s">
        <v>154</v>
      </c>
      <c r="B42" s="3" t="s">
        <v>124</v>
      </c>
      <c r="C42" s="3" t="s">
        <v>158</v>
      </c>
      <c r="D42" s="3" t="s">
        <v>70</v>
      </c>
      <c r="E42" s="3" t="s">
        <v>156</v>
      </c>
      <c r="F42" s="4">
        <v>20</v>
      </c>
      <c r="G42" s="3" t="s">
        <v>30</v>
      </c>
      <c r="H42" s="3" t="s">
        <v>107</v>
      </c>
      <c r="I42" s="5" t="s">
        <v>32</v>
      </c>
      <c r="J42" s="4">
        <v>5</v>
      </c>
      <c r="K42" s="4">
        <v>34</v>
      </c>
      <c r="L42" s="4">
        <v>3</v>
      </c>
      <c r="M42" s="4">
        <v>6</v>
      </c>
      <c r="N42" s="4">
        <f t="shared" si="1"/>
        <v>48</v>
      </c>
      <c r="O42" s="3" t="s">
        <v>126</v>
      </c>
      <c r="P42" s="4">
        <v>6</v>
      </c>
      <c r="Q42" s="4">
        <v>3</v>
      </c>
      <c r="R42" s="4">
        <v>2</v>
      </c>
      <c r="S42" s="3" t="s">
        <v>154</v>
      </c>
      <c r="T42" s="3" t="s">
        <v>159</v>
      </c>
      <c r="U42" s="3" t="s">
        <v>35</v>
      </c>
      <c r="V42" s="2">
        <v>120</v>
      </c>
      <c r="W42" s="2">
        <v>150</v>
      </c>
    </row>
    <row r="43" spans="1:23" x14ac:dyDescent="0.3">
      <c r="A43" s="3" t="s">
        <v>154</v>
      </c>
      <c r="B43" s="3" t="s">
        <v>43</v>
      </c>
      <c r="C43" s="3" t="s">
        <v>142</v>
      </c>
      <c r="D43" s="3" t="s">
        <v>70</v>
      </c>
      <c r="E43" s="3" t="s">
        <v>143</v>
      </c>
      <c r="F43" s="4">
        <v>20</v>
      </c>
      <c r="G43" s="3" t="s">
        <v>30</v>
      </c>
      <c r="H43" s="3" t="s">
        <v>31</v>
      </c>
      <c r="I43" s="5" t="s">
        <v>32</v>
      </c>
      <c r="J43" s="4">
        <v>5</v>
      </c>
      <c r="K43" s="4">
        <v>34</v>
      </c>
      <c r="L43" s="4">
        <v>3</v>
      </c>
      <c r="M43" s="4">
        <v>6</v>
      </c>
      <c r="N43" s="4">
        <f t="shared" si="1"/>
        <v>48</v>
      </c>
      <c r="O43" s="3" t="s">
        <v>46</v>
      </c>
      <c r="P43" s="4">
        <v>6</v>
      </c>
      <c r="Q43" s="4">
        <v>3</v>
      </c>
      <c r="R43" s="4">
        <v>2</v>
      </c>
      <c r="S43" s="3" t="s">
        <v>154</v>
      </c>
      <c r="T43" s="3" t="s">
        <v>160</v>
      </c>
      <c r="U43" s="3" t="s">
        <v>48</v>
      </c>
      <c r="V43" s="2">
        <v>180</v>
      </c>
      <c r="W43" s="2">
        <v>225</v>
      </c>
    </row>
    <row r="44" spans="1:23" x14ac:dyDescent="0.3">
      <c r="A44" s="3" t="s">
        <v>154</v>
      </c>
      <c r="B44" s="3" t="s">
        <v>43</v>
      </c>
      <c r="C44" s="3" t="s">
        <v>146</v>
      </c>
      <c r="D44" s="3" t="s">
        <v>70</v>
      </c>
      <c r="E44" s="3" t="s">
        <v>147</v>
      </c>
      <c r="F44" s="4">
        <v>20</v>
      </c>
      <c r="G44" s="3" t="s">
        <v>30</v>
      </c>
      <c r="H44" s="3" t="s">
        <v>31</v>
      </c>
      <c r="I44" s="5" t="s">
        <v>32</v>
      </c>
      <c r="J44" s="4">
        <v>5</v>
      </c>
      <c r="K44" s="4">
        <v>34</v>
      </c>
      <c r="L44" s="4">
        <v>3</v>
      </c>
      <c r="M44" s="4">
        <v>6</v>
      </c>
      <c r="N44" s="4">
        <f t="shared" si="1"/>
        <v>48</v>
      </c>
      <c r="O44" s="3" t="s">
        <v>46</v>
      </c>
      <c r="P44" s="4">
        <v>6</v>
      </c>
      <c r="Q44" s="4">
        <v>3</v>
      </c>
      <c r="R44" s="4">
        <v>2</v>
      </c>
      <c r="S44" s="3" t="s">
        <v>154</v>
      </c>
      <c r="T44" s="3" t="s">
        <v>161</v>
      </c>
      <c r="U44" s="3" t="s">
        <v>48</v>
      </c>
      <c r="V44" s="2">
        <v>180</v>
      </c>
      <c r="W44" s="2">
        <v>225</v>
      </c>
    </row>
    <row r="45" spans="1:23" x14ac:dyDescent="0.3">
      <c r="A45" s="3" t="s">
        <v>162</v>
      </c>
      <c r="B45" s="3" t="s">
        <v>111</v>
      </c>
      <c r="C45" s="3" t="s">
        <v>158</v>
      </c>
      <c r="D45" s="3" t="s">
        <v>125</v>
      </c>
      <c r="E45" s="3" t="s">
        <v>156</v>
      </c>
      <c r="F45" s="4">
        <v>20</v>
      </c>
      <c r="G45" s="3" t="s">
        <v>30</v>
      </c>
      <c r="H45" s="3" t="s">
        <v>107</v>
      </c>
      <c r="I45" s="5" t="s">
        <v>32</v>
      </c>
      <c r="J45" s="4">
        <v>5</v>
      </c>
      <c r="K45" s="4">
        <v>34</v>
      </c>
      <c r="L45" s="4">
        <v>3</v>
      </c>
      <c r="M45" s="4">
        <v>6</v>
      </c>
      <c r="N45" s="4">
        <f t="shared" si="1"/>
        <v>48</v>
      </c>
      <c r="O45" s="3" t="s">
        <v>114</v>
      </c>
      <c r="P45" s="4">
        <v>6</v>
      </c>
      <c r="Q45" s="4">
        <v>3</v>
      </c>
      <c r="R45" s="4">
        <v>2</v>
      </c>
      <c r="S45" s="3" t="s">
        <v>162</v>
      </c>
      <c r="T45" s="3" t="s">
        <v>163</v>
      </c>
      <c r="U45" s="3" t="s">
        <v>48</v>
      </c>
      <c r="V45" s="2">
        <v>120</v>
      </c>
      <c r="W45" s="2">
        <v>150</v>
      </c>
    </row>
    <row r="46" spans="1:23" x14ac:dyDescent="0.3">
      <c r="A46" s="3" t="s">
        <v>164</v>
      </c>
      <c r="B46" s="3" t="s">
        <v>59</v>
      </c>
      <c r="C46" s="3" t="s">
        <v>150</v>
      </c>
      <c r="D46" s="3" t="s">
        <v>70</v>
      </c>
      <c r="E46" s="3" t="s">
        <v>151</v>
      </c>
      <c r="F46" s="4">
        <v>20</v>
      </c>
      <c r="G46" s="3" t="s">
        <v>30</v>
      </c>
      <c r="H46" s="3" t="s">
        <v>31</v>
      </c>
      <c r="I46" s="5" t="s">
        <v>32</v>
      </c>
      <c r="J46" s="4">
        <v>5</v>
      </c>
      <c r="K46" s="4">
        <v>34</v>
      </c>
      <c r="L46" s="4">
        <v>3</v>
      </c>
      <c r="M46" s="4">
        <v>6</v>
      </c>
      <c r="N46" s="4">
        <f t="shared" si="1"/>
        <v>48</v>
      </c>
      <c r="O46" s="3" t="s">
        <v>62</v>
      </c>
      <c r="P46" s="4">
        <v>6</v>
      </c>
      <c r="Q46" s="4">
        <v>3</v>
      </c>
      <c r="R46" s="4">
        <v>2</v>
      </c>
      <c r="S46" s="3" t="s">
        <v>164</v>
      </c>
      <c r="T46" s="3" t="s">
        <v>165</v>
      </c>
      <c r="U46" s="3" t="s">
        <v>35</v>
      </c>
      <c r="V46" s="2">
        <v>180</v>
      </c>
      <c r="W46" s="2">
        <v>225</v>
      </c>
    </row>
    <row r="47" spans="1:23" x14ac:dyDescent="0.3">
      <c r="A47" s="3" t="s">
        <v>164</v>
      </c>
      <c r="B47" s="3" t="s">
        <v>96</v>
      </c>
      <c r="C47" s="3" t="s">
        <v>166</v>
      </c>
      <c r="D47" s="3" t="s">
        <v>28</v>
      </c>
      <c r="E47" s="3" t="s">
        <v>156</v>
      </c>
      <c r="F47" s="4">
        <v>20</v>
      </c>
      <c r="G47" s="3" t="s">
        <v>30</v>
      </c>
      <c r="H47" s="3" t="s">
        <v>99</v>
      </c>
      <c r="I47" s="5" t="s">
        <v>32</v>
      </c>
      <c r="J47" s="4">
        <v>5</v>
      </c>
      <c r="K47" s="4">
        <v>34</v>
      </c>
      <c r="L47" s="4">
        <v>3</v>
      </c>
      <c r="M47" s="4">
        <v>6</v>
      </c>
      <c r="N47" s="4">
        <f t="shared" si="1"/>
        <v>48</v>
      </c>
      <c r="O47" s="3" t="s">
        <v>100</v>
      </c>
      <c r="P47" s="4">
        <v>6</v>
      </c>
      <c r="Q47" s="4">
        <v>3</v>
      </c>
      <c r="R47" s="4">
        <v>2</v>
      </c>
      <c r="S47" s="3" t="s">
        <v>164</v>
      </c>
      <c r="T47" s="3" t="s">
        <v>167</v>
      </c>
      <c r="U47" s="3" t="s">
        <v>48</v>
      </c>
      <c r="V47" s="2">
        <v>150</v>
      </c>
      <c r="W47" s="2">
        <v>190</v>
      </c>
    </row>
    <row r="48" spans="1:23" x14ac:dyDescent="0.3">
      <c r="A48" s="3" t="s">
        <v>168</v>
      </c>
      <c r="B48" s="3" t="s">
        <v>59</v>
      </c>
      <c r="C48" s="3" t="s">
        <v>169</v>
      </c>
      <c r="D48" s="3" t="s">
        <v>28</v>
      </c>
      <c r="E48" s="3" t="s">
        <v>170</v>
      </c>
      <c r="F48" s="4">
        <v>20</v>
      </c>
      <c r="G48" s="3" t="s">
        <v>30</v>
      </c>
      <c r="H48" s="3" t="s">
        <v>31</v>
      </c>
      <c r="I48" s="5" t="s">
        <v>32</v>
      </c>
      <c r="J48" s="4">
        <v>5</v>
      </c>
      <c r="K48" s="4">
        <v>34</v>
      </c>
      <c r="L48" s="4">
        <v>3</v>
      </c>
      <c r="M48" s="4">
        <v>6</v>
      </c>
      <c r="N48" s="4">
        <f t="shared" si="1"/>
        <v>48</v>
      </c>
      <c r="O48" s="3" t="s">
        <v>62</v>
      </c>
      <c r="P48" s="4">
        <v>6</v>
      </c>
      <c r="Q48" s="4">
        <v>3</v>
      </c>
      <c r="R48" s="4">
        <v>2</v>
      </c>
      <c r="S48" s="3" t="s">
        <v>168</v>
      </c>
      <c r="T48" s="3" t="s">
        <v>171</v>
      </c>
      <c r="U48" s="3" t="s">
        <v>35</v>
      </c>
      <c r="V48" s="2">
        <v>180</v>
      </c>
      <c r="W48" s="2">
        <v>225</v>
      </c>
    </row>
    <row r="49" spans="1:23" x14ac:dyDescent="0.3">
      <c r="A49" s="3" t="s">
        <v>168</v>
      </c>
      <c r="B49" s="3" t="s">
        <v>172</v>
      </c>
      <c r="C49" s="3" t="s">
        <v>112</v>
      </c>
      <c r="D49" s="3" t="s">
        <v>28</v>
      </c>
      <c r="E49" s="3" t="s">
        <v>113</v>
      </c>
      <c r="F49" s="4">
        <v>20</v>
      </c>
      <c r="G49" s="3" t="s">
        <v>30</v>
      </c>
      <c r="H49" s="3" t="s">
        <v>173</v>
      </c>
      <c r="I49" s="5" t="s">
        <v>32</v>
      </c>
      <c r="J49" s="4">
        <v>5</v>
      </c>
      <c r="K49" s="4">
        <v>34</v>
      </c>
      <c r="L49" s="4">
        <v>3</v>
      </c>
      <c r="M49" s="4">
        <v>6</v>
      </c>
      <c r="N49" s="4">
        <f t="shared" si="1"/>
        <v>48</v>
      </c>
      <c r="O49" s="3" t="s">
        <v>174</v>
      </c>
      <c r="P49" s="4">
        <v>6</v>
      </c>
      <c r="Q49" s="4">
        <v>3</v>
      </c>
      <c r="R49" s="4">
        <v>2</v>
      </c>
      <c r="S49" s="3" t="s">
        <v>168</v>
      </c>
      <c r="T49" s="3" t="s">
        <v>175</v>
      </c>
      <c r="U49" s="3" t="s">
        <v>48</v>
      </c>
      <c r="V49" s="2">
        <v>60</v>
      </c>
      <c r="W49" s="2">
        <v>75</v>
      </c>
    </row>
    <row r="50" spans="1:23" x14ac:dyDescent="0.3">
      <c r="A50" s="3" t="s">
        <v>168</v>
      </c>
      <c r="B50" s="3" t="s">
        <v>172</v>
      </c>
      <c r="C50" s="3" t="s">
        <v>116</v>
      </c>
      <c r="D50" s="3" t="s">
        <v>28</v>
      </c>
      <c r="E50" s="3" t="s">
        <v>113</v>
      </c>
      <c r="F50" s="4">
        <v>20</v>
      </c>
      <c r="G50" s="3" t="s">
        <v>30</v>
      </c>
      <c r="H50" s="3" t="s">
        <v>173</v>
      </c>
      <c r="I50" s="5" t="s">
        <v>32</v>
      </c>
      <c r="J50" s="4">
        <v>5</v>
      </c>
      <c r="K50" s="4">
        <v>34</v>
      </c>
      <c r="L50" s="4">
        <v>3</v>
      </c>
      <c r="M50" s="4">
        <v>6</v>
      </c>
      <c r="N50" s="4">
        <f t="shared" si="1"/>
        <v>48</v>
      </c>
      <c r="O50" s="3" t="s">
        <v>174</v>
      </c>
      <c r="P50" s="4">
        <v>6</v>
      </c>
      <c r="Q50" s="4">
        <v>3</v>
      </c>
      <c r="R50" s="4">
        <v>2</v>
      </c>
      <c r="S50" s="3" t="s">
        <v>168</v>
      </c>
      <c r="T50" s="3" t="s">
        <v>176</v>
      </c>
      <c r="U50" s="3" t="s">
        <v>48</v>
      </c>
      <c r="V50" s="2">
        <v>60</v>
      </c>
      <c r="W50" s="2">
        <v>75</v>
      </c>
    </row>
    <row r="51" spans="1:23" x14ac:dyDescent="0.3">
      <c r="A51" s="3" t="s">
        <v>177</v>
      </c>
      <c r="B51" s="3" t="s">
        <v>43</v>
      </c>
      <c r="C51" s="3" t="s">
        <v>178</v>
      </c>
      <c r="D51" s="3" t="s">
        <v>28</v>
      </c>
      <c r="E51" s="3" t="s">
        <v>61</v>
      </c>
      <c r="F51" s="4">
        <v>20</v>
      </c>
      <c r="G51" s="3" t="s">
        <v>30</v>
      </c>
      <c r="H51" s="3" t="s">
        <v>31</v>
      </c>
      <c r="I51" s="5" t="s">
        <v>32</v>
      </c>
      <c r="J51" s="4">
        <v>5</v>
      </c>
      <c r="K51" s="4">
        <v>34</v>
      </c>
      <c r="L51" s="4">
        <v>3</v>
      </c>
      <c r="M51" s="4">
        <v>6</v>
      </c>
      <c r="N51" s="4">
        <f t="shared" si="1"/>
        <v>48</v>
      </c>
      <c r="O51" s="3" t="s">
        <v>46</v>
      </c>
      <c r="P51" s="4">
        <v>6</v>
      </c>
      <c r="Q51" s="4">
        <v>3</v>
      </c>
      <c r="R51" s="4">
        <v>2</v>
      </c>
      <c r="S51" s="3" t="s">
        <v>177</v>
      </c>
      <c r="T51" s="3" t="s">
        <v>179</v>
      </c>
      <c r="U51" s="3" t="s">
        <v>48</v>
      </c>
      <c r="V51" s="2">
        <v>180</v>
      </c>
      <c r="W51" s="2">
        <v>225</v>
      </c>
    </row>
    <row r="52" spans="1:23" x14ac:dyDescent="0.3">
      <c r="A52" s="3" t="s">
        <v>180</v>
      </c>
      <c r="B52" s="3" t="s">
        <v>59</v>
      </c>
      <c r="C52" s="3" t="s">
        <v>181</v>
      </c>
      <c r="D52" s="3" t="s">
        <v>28</v>
      </c>
      <c r="E52" s="3" t="s">
        <v>133</v>
      </c>
      <c r="F52" s="4">
        <v>20</v>
      </c>
      <c r="G52" s="3" t="s">
        <v>30</v>
      </c>
      <c r="H52" s="3" t="s">
        <v>31</v>
      </c>
      <c r="I52" s="5" t="s">
        <v>32</v>
      </c>
      <c r="J52" s="4">
        <v>5</v>
      </c>
      <c r="K52" s="4">
        <v>34</v>
      </c>
      <c r="L52" s="4">
        <v>3</v>
      </c>
      <c r="M52" s="4">
        <v>6</v>
      </c>
      <c r="N52" s="4">
        <f t="shared" si="1"/>
        <v>48</v>
      </c>
      <c r="O52" s="3" t="s">
        <v>62</v>
      </c>
      <c r="P52" s="4">
        <v>6</v>
      </c>
      <c r="Q52" s="4">
        <v>3</v>
      </c>
      <c r="R52" s="4">
        <v>2</v>
      </c>
      <c r="S52" s="3" t="s">
        <v>180</v>
      </c>
      <c r="T52" s="3" t="s">
        <v>182</v>
      </c>
      <c r="U52" s="3" t="s">
        <v>35</v>
      </c>
      <c r="V52" s="2">
        <v>180</v>
      </c>
      <c r="W52" s="2">
        <v>225</v>
      </c>
    </row>
    <row r="53" spans="1:23" x14ac:dyDescent="0.3">
      <c r="A53" s="3" t="s">
        <v>180</v>
      </c>
      <c r="B53" s="3" t="s">
        <v>43</v>
      </c>
      <c r="C53" s="3" t="s">
        <v>169</v>
      </c>
      <c r="D53" s="3" t="s">
        <v>70</v>
      </c>
      <c r="E53" s="3" t="s">
        <v>170</v>
      </c>
      <c r="F53" s="4">
        <v>20</v>
      </c>
      <c r="G53" s="3" t="s">
        <v>30</v>
      </c>
      <c r="H53" s="3" t="s">
        <v>31</v>
      </c>
      <c r="I53" s="5" t="s">
        <v>32</v>
      </c>
      <c r="J53" s="4">
        <v>5</v>
      </c>
      <c r="K53" s="4">
        <v>34</v>
      </c>
      <c r="L53" s="4">
        <v>3</v>
      </c>
      <c r="M53" s="4">
        <v>6</v>
      </c>
      <c r="N53" s="4">
        <f t="shared" si="1"/>
        <v>48</v>
      </c>
      <c r="O53" s="3" t="s">
        <v>46</v>
      </c>
      <c r="P53" s="4">
        <v>6</v>
      </c>
      <c r="Q53" s="4">
        <v>3</v>
      </c>
      <c r="R53" s="4">
        <v>2</v>
      </c>
      <c r="S53" s="3" t="s">
        <v>180</v>
      </c>
      <c r="T53" s="3" t="s">
        <v>183</v>
      </c>
      <c r="U53" s="3" t="s">
        <v>48</v>
      </c>
      <c r="V53" s="2">
        <v>180</v>
      </c>
      <c r="W53" s="2">
        <v>225</v>
      </c>
    </row>
    <row r="54" spans="1:23" x14ac:dyDescent="0.3">
      <c r="A54" s="3" t="s">
        <v>184</v>
      </c>
      <c r="B54" s="3" t="s">
        <v>138</v>
      </c>
      <c r="C54" s="3" t="s">
        <v>185</v>
      </c>
      <c r="D54" s="3" t="s">
        <v>28</v>
      </c>
      <c r="E54" s="3" t="s">
        <v>113</v>
      </c>
      <c r="F54" s="4">
        <v>20</v>
      </c>
      <c r="G54" s="3" t="s">
        <v>30</v>
      </c>
      <c r="H54" s="3" t="s">
        <v>99</v>
      </c>
      <c r="I54" s="5" t="s">
        <v>32</v>
      </c>
      <c r="J54" s="4">
        <v>5</v>
      </c>
      <c r="K54" s="4">
        <v>34</v>
      </c>
      <c r="L54" s="4">
        <v>3</v>
      </c>
      <c r="M54" s="4">
        <v>6</v>
      </c>
      <c r="N54" s="4">
        <f t="shared" si="1"/>
        <v>48</v>
      </c>
      <c r="O54" s="3" t="s">
        <v>139</v>
      </c>
      <c r="P54" s="4">
        <v>6</v>
      </c>
      <c r="Q54" s="4">
        <v>3</v>
      </c>
      <c r="R54" s="4">
        <v>2</v>
      </c>
      <c r="S54" s="3" t="s">
        <v>184</v>
      </c>
      <c r="T54" s="3" t="s">
        <v>186</v>
      </c>
      <c r="U54" s="3" t="s">
        <v>35</v>
      </c>
      <c r="V54" s="2">
        <v>150</v>
      </c>
      <c r="W54" s="2">
        <v>190</v>
      </c>
    </row>
    <row r="55" spans="1:23" x14ac:dyDescent="0.3">
      <c r="A55" s="3" t="s">
        <v>184</v>
      </c>
      <c r="B55" s="3" t="s">
        <v>26</v>
      </c>
      <c r="C55" s="3" t="s">
        <v>187</v>
      </c>
      <c r="D55" s="3" t="s">
        <v>28</v>
      </c>
      <c r="E55" s="3" t="s">
        <v>98</v>
      </c>
      <c r="F55" s="4">
        <v>20</v>
      </c>
      <c r="G55" s="3" t="s">
        <v>30</v>
      </c>
      <c r="H55" s="3" t="s">
        <v>188</v>
      </c>
      <c r="I55" s="5" t="s">
        <v>32</v>
      </c>
      <c r="J55" s="4">
        <v>5</v>
      </c>
      <c r="K55" s="4">
        <v>34</v>
      </c>
      <c r="L55" s="4">
        <v>3</v>
      </c>
      <c r="M55" s="4">
        <v>6</v>
      </c>
      <c r="N55" s="4">
        <f t="shared" si="1"/>
        <v>48</v>
      </c>
      <c r="O55" s="3" t="s">
        <v>189</v>
      </c>
      <c r="P55" s="4">
        <v>6</v>
      </c>
      <c r="Q55" s="4">
        <v>3</v>
      </c>
      <c r="R55" s="4">
        <v>2</v>
      </c>
      <c r="S55" s="3" t="s">
        <v>184</v>
      </c>
      <c r="T55" s="3" t="s">
        <v>190</v>
      </c>
      <c r="U55" s="3" t="s">
        <v>35</v>
      </c>
      <c r="V55" s="2">
        <v>195</v>
      </c>
      <c r="W55" s="2">
        <v>245</v>
      </c>
    </row>
    <row r="56" spans="1:23" x14ac:dyDescent="0.3">
      <c r="A56" s="3" t="s">
        <v>184</v>
      </c>
      <c r="B56" s="3" t="s">
        <v>191</v>
      </c>
      <c r="C56" s="3" t="s">
        <v>155</v>
      </c>
      <c r="D56" s="3" t="s">
        <v>28</v>
      </c>
      <c r="E56" s="3" t="s">
        <v>156</v>
      </c>
      <c r="F56" s="4">
        <v>20</v>
      </c>
      <c r="G56" s="3" t="s">
        <v>30</v>
      </c>
      <c r="H56" s="3" t="s">
        <v>173</v>
      </c>
      <c r="I56" s="5" t="s">
        <v>32</v>
      </c>
      <c r="J56" s="4">
        <v>5</v>
      </c>
      <c r="K56" s="4">
        <v>34</v>
      </c>
      <c r="L56" s="4">
        <v>3</v>
      </c>
      <c r="M56" s="4">
        <v>6</v>
      </c>
      <c r="N56" s="4">
        <f t="shared" si="1"/>
        <v>48</v>
      </c>
      <c r="O56" s="3" t="s">
        <v>192</v>
      </c>
      <c r="P56" s="4">
        <v>6</v>
      </c>
      <c r="Q56" s="4">
        <v>3</v>
      </c>
      <c r="R56" s="4">
        <v>2</v>
      </c>
      <c r="S56" s="3" t="s">
        <v>184</v>
      </c>
      <c r="T56" s="3" t="s">
        <v>193</v>
      </c>
      <c r="U56" s="3" t="s">
        <v>48</v>
      </c>
      <c r="V56" s="2">
        <v>60</v>
      </c>
      <c r="W56" s="2">
        <v>75</v>
      </c>
    </row>
    <row r="57" spans="1:23" x14ac:dyDescent="0.3">
      <c r="A57" s="3" t="s">
        <v>184</v>
      </c>
      <c r="B57" s="3" t="s">
        <v>191</v>
      </c>
      <c r="C57" s="3" t="s">
        <v>158</v>
      </c>
      <c r="D57" s="3" t="s">
        <v>28</v>
      </c>
      <c r="E57" s="3" t="s">
        <v>156</v>
      </c>
      <c r="F57" s="4">
        <v>20</v>
      </c>
      <c r="G57" s="3" t="s">
        <v>30</v>
      </c>
      <c r="H57" s="3" t="s">
        <v>173</v>
      </c>
      <c r="I57" s="5" t="s">
        <v>32</v>
      </c>
      <c r="J57" s="4">
        <v>5</v>
      </c>
      <c r="K57" s="4">
        <v>34</v>
      </c>
      <c r="L57" s="4">
        <v>3</v>
      </c>
      <c r="M57" s="4">
        <v>6</v>
      </c>
      <c r="N57" s="4">
        <f t="shared" si="1"/>
        <v>48</v>
      </c>
      <c r="O57" s="3" t="s">
        <v>192</v>
      </c>
      <c r="P57" s="4">
        <v>6</v>
      </c>
      <c r="Q57" s="4">
        <v>3</v>
      </c>
      <c r="R57" s="4">
        <v>2</v>
      </c>
      <c r="S57" s="3" t="s">
        <v>184</v>
      </c>
      <c r="T57" s="3" t="s">
        <v>194</v>
      </c>
      <c r="U57" s="3" t="s">
        <v>48</v>
      </c>
      <c r="V57" s="2">
        <v>60</v>
      </c>
      <c r="W57" s="2">
        <v>75</v>
      </c>
    </row>
    <row r="58" spans="1:23" x14ac:dyDescent="0.3">
      <c r="A58" s="3" t="s">
        <v>195</v>
      </c>
      <c r="B58" s="3" t="s">
        <v>196</v>
      </c>
      <c r="C58" s="3" t="s">
        <v>132</v>
      </c>
      <c r="D58" s="3" t="s">
        <v>28</v>
      </c>
      <c r="E58" s="3" t="s">
        <v>133</v>
      </c>
      <c r="F58" s="4">
        <v>20</v>
      </c>
      <c r="G58" s="3" t="s">
        <v>30</v>
      </c>
      <c r="H58" s="3" t="s">
        <v>173</v>
      </c>
      <c r="I58" s="5" t="s">
        <v>32</v>
      </c>
      <c r="J58" s="4">
        <v>5</v>
      </c>
      <c r="K58" s="4">
        <v>34</v>
      </c>
      <c r="L58" s="4">
        <v>3</v>
      </c>
      <c r="M58" s="4">
        <v>6</v>
      </c>
      <c r="N58" s="4">
        <f t="shared" si="1"/>
        <v>48</v>
      </c>
      <c r="O58" s="3" t="s">
        <v>197</v>
      </c>
      <c r="P58" s="4">
        <v>6</v>
      </c>
      <c r="Q58" s="4">
        <v>3</v>
      </c>
      <c r="R58" s="4">
        <v>2</v>
      </c>
      <c r="S58" s="3" t="s">
        <v>195</v>
      </c>
      <c r="T58" s="3" t="s">
        <v>198</v>
      </c>
      <c r="U58" s="3" t="s">
        <v>35</v>
      </c>
      <c r="V58" s="2">
        <v>60</v>
      </c>
      <c r="W58" s="2">
        <v>75</v>
      </c>
    </row>
    <row r="59" spans="1:23" x14ac:dyDescent="0.3">
      <c r="A59" s="3" t="s">
        <v>195</v>
      </c>
      <c r="B59" s="3" t="s">
        <v>196</v>
      </c>
      <c r="C59" s="3" t="s">
        <v>135</v>
      </c>
      <c r="D59" s="3" t="s">
        <v>28</v>
      </c>
      <c r="E59" s="3" t="s">
        <v>133</v>
      </c>
      <c r="F59" s="4">
        <v>20</v>
      </c>
      <c r="G59" s="3" t="s">
        <v>30</v>
      </c>
      <c r="H59" s="3" t="s">
        <v>173</v>
      </c>
      <c r="I59" s="5" t="s">
        <v>32</v>
      </c>
      <c r="J59" s="4">
        <v>5</v>
      </c>
      <c r="K59" s="4">
        <v>34</v>
      </c>
      <c r="L59" s="4">
        <v>3</v>
      </c>
      <c r="M59" s="4">
        <v>6</v>
      </c>
      <c r="N59" s="4">
        <f t="shared" si="1"/>
        <v>48</v>
      </c>
      <c r="O59" s="3" t="s">
        <v>197</v>
      </c>
      <c r="P59" s="4">
        <v>6</v>
      </c>
      <c r="Q59" s="4">
        <v>3</v>
      </c>
      <c r="R59" s="4">
        <v>2</v>
      </c>
      <c r="S59" s="3" t="s">
        <v>195</v>
      </c>
      <c r="T59" s="3" t="s">
        <v>199</v>
      </c>
      <c r="U59" s="3" t="s">
        <v>35</v>
      </c>
      <c r="V59" s="2">
        <v>60</v>
      </c>
      <c r="W59" s="2">
        <v>75</v>
      </c>
    </row>
  </sheetData>
  <mergeCells count="22">
    <mergeCell ref="V2:V3"/>
    <mergeCell ref="W2:W3"/>
    <mergeCell ref="S1:W1"/>
    <mergeCell ref="A1:O1"/>
    <mergeCell ref="J2:N2"/>
    <mergeCell ref="S2:S3"/>
    <mergeCell ref="T2:T3"/>
    <mergeCell ref="U2:U3"/>
    <mergeCell ref="P1:R1"/>
    <mergeCell ref="A2:A3"/>
    <mergeCell ref="B2:B3"/>
    <mergeCell ref="C2:C3"/>
    <mergeCell ref="D2:D3"/>
    <mergeCell ref="E2:E3"/>
    <mergeCell ref="F2:F3"/>
    <mergeCell ref="G2:G3"/>
    <mergeCell ref="R2:R3"/>
    <mergeCell ref="H2:H3"/>
    <mergeCell ref="I2:I3"/>
    <mergeCell ref="O2:O3"/>
    <mergeCell ref="P2:P3"/>
    <mergeCell ref="Q2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8AA0-78E5-4448-BAAF-C388E96617DD}">
  <dimension ref="A1:AT57"/>
  <sheetViews>
    <sheetView tabSelected="1" topLeftCell="O1" workbookViewId="0">
      <selection activeCell="C59" sqref="C59"/>
    </sheetView>
  </sheetViews>
  <sheetFormatPr defaultRowHeight="14.4" x14ac:dyDescent="0.3"/>
  <cols>
    <col min="1" max="1" width="25.44140625" customWidth="1"/>
    <col min="2" max="2" width="18.21875" customWidth="1"/>
    <col min="3" max="10" width="13.77734375" customWidth="1"/>
    <col min="11" max="12" width="20.44140625" customWidth="1"/>
    <col min="13" max="46" width="18.77734375" customWidth="1"/>
  </cols>
  <sheetData>
    <row r="1" spans="1:46" ht="24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30"/>
      <c r="L1" s="31" t="s">
        <v>3</v>
      </c>
      <c r="M1" s="32" t="s">
        <v>25</v>
      </c>
      <c r="N1" s="32" t="s">
        <v>36</v>
      </c>
      <c r="O1" s="32" t="s">
        <v>36</v>
      </c>
      <c r="P1" s="32" t="s">
        <v>58</v>
      </c>
      <c r="Q1" s="32" t="s">
        <v>58</v>
      </c>
      <c r="R1" s="32" t="s">
        <v>69</v>
      </c>
      <c r="S1" s="32" t="s">
        <v>69</v>
      </c>
      <c r="T1" s="32" t="s">
        <v>77</v>
      </c>
      <c r="U1" s="32" t="s">
        <v>77</v>
      </c>
      <c r="V1" s="32" t="s">
        <v>104</v>
      </c>
      <c r="W1" s="32" t="s">
        <v>104</v>
      </c>
      <c r="X1" s="32" t="s">
        <v>110</v>
      </c>
      <c r="Y1" s="32" t="s">
        <v>118</v>
      </c>
      <c r="Z1" s="32" t="s">
        <v>118</v>
      </c>
      <c r="AA1" s="32" t="s">
        <v>123</v>
      </c>
      <c r="AB1" s="32" t="s">
        <v>123</v>
      </c>
      <c r="AC1" s="32" t="s">
        <v>131</v>
      </c>
      <c r="AD1" s="32" t="s">
        <v>137</v>
      </c>
      <c r="AE1" s="32" t="s">
        <v>137</v>
      </c>
      <c r="AF1" s="32" t="s">
        <v>149</v>
      </c>
      <c r="AG1" s="32" t="s">
        <v>149</v>
      </c>
      <c r="AH1" s="32" t="s">
        <v>154</v>
      </c>
      <c r="AI1" s="32" t="s">
        <v>154</v>
      </c>
      <c r="AJ1" s="32" t="s">
        <v>162</v>
      </c>
      <c r="AK1" s="32" t="s">
        <v>164</v>
      </c>
      <c r="AL1" s="32" t="s">
        <v>164</v>
      </c>
      <c r="AM1" s="32" t="s">
        <v>168</v>
      </c>
      <c r="AN1" s="32" t="s">
        <v>168</v>
      </c>
      <c r="AO1" s="32" t="s">
        <v>177</v>
      </c>
      <c r="AP1" s="32" t="s">
        <v>180</v>
      </c>
      <c r="AQ1" s="32" t="s">
        <v>180</v>
      </c>
      <c r="AR1" s="32" t="s">
        <v>184</v>
      </c>
      <c r="AS1" s="32" t="s">
        <v>184</v>
      </c>
      <c r="AT1" s="32" t="s">
        <v>195</v>
      </c>
    </row>
    <row r="2" spans="1:46" ht="24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30"/>
      <c r="L2" s="31" t="s">
        <v>15</v>
      </c>
      <c r="M2" s="33" t="s">
        <v>35</v>
      </c>
      <c r="N2" s="33" t="s">
        <v>35</v>
      </c>
      <c r="O2" s="33" t="s">
        <v>48</v>
      </c>
      <c r="P2" s="33" t="s">
        <v>35</v>
      </c>
      <c r="Q2" s="33" t="s">
        <v>48</v>
      </c>
      <c r="R2" s="33" t="s">
        <v>35</v>
      </c>
      <c r="S2" s="33" t="s">
        <v>48</v>
      </c>
      <c r="T2" s="33" t="s">
        <v>35</v>
      </c>
      <c r="U2" s="33" t="s">
        <v>48</v>
      </c>
      <c r="V2" s="33" t="s">
        <v>35</v>
      </c>
      <c r="W2" s="33" t="s">
        <v>48</v>
      </c>
      <c r="X2" s="33" t="s">
        <v>48</v>
      </c>
      <c r="Y2" s="33" t="s">
        <v>35</v>
      </c>
      <c r="Z2" s="33" t="s">
        <v>48</v>
      </c>
      <c r="AA2" s="33" t="s">
        <v>35</v>
      </c>
      <c r="AB2" s="33" t="s">
        <v>48</v>
      </c>
      <c r="AC2" s="33" t="s">
        <v>35</v>
      </c>
      <c r="AD2" s="33" t="s">
        <v>35</v>
      </c>
      <c r="AE2" s="33" t="s">
        <v>48</v>
      </c>
      <c r="AF2" s="33" t="s">
        <v>35</v>
      </c>
      <c r="AG2" s="33" t="s">
        <v>48</v>
      </c>
      <c r="AH2" s="33" t="s">
        <v>35</v>
      </c>
      <c r="AI2" s="33" t="s">
        <v>48</v>
      </c>
      <c r="AJ2" s="33" t="s">
        <v>48</v>
      </c>
      <c r="AK2" s="33" t="s">
        <v>35</v>
      </c>
      <c r="AL2" s="33" t="s">
        <v>48</v>
      </c>
      <c r="AM2" s="33" t="s">
        <v>35</v>
      </c>
      <c r="AN2" s="33" t="s">
        <v>48</v>
      </c>
      <c r="AO2" s="33" t="s">
        <v>48</v>
      </c>
      <c r="AP2" s="33" t="s">
        <v>35</v>
      </c>
      <c r="AQ2" s="33" t="s">
        <v>48</v>
      </c>
      <c r="AR2" s="33" t="s">
        <v>35</v>
      </c>
      <c r="AS2" s="33" t="s">
        <v>48</v>
      </c>
      <c r="AT2" s="33" t="s">
        <v>35</v>
      </c>
    </row>
    <row r="3" spans="1:46" ht="54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30"/>
      <c r="L3" s="31" t="s">
        <v>200</v>
      </c>
      <c r="M3" s="33" t="s">
        <v>34</v>
      </c>
      <c r="N3" s="33" t="s">
        <v>42</v>
      </c>
      <c r="O3" s="33" t="s">
        <v>201</v>
      </c>
      <c r="P3" s="33" t="s">
        <v>202</v>
      </c>
      <c r="Q3" s="33" t="s">
        <v>68</v>
      </c>
      <c r="R3" s="33" t="s">
        <v>71</v>
      </c>
      <c r="S3" s="33" t="s">
        <v>203</v>
      </c>
      <c r="T3" s="33" t="s">
        <v>204</v>
      </c>
      <c r="U3" s="33" t="s">
        <v>205</v>
      </c>
      <c r="V3" s="33" t="s">
        <v>105</v>
      </c>
      <c r="W3" s="33" t="s">
        <v>109</v>
      </c>
      <c r="X3" s="33" t="s">
        <v>206</v>
      </c>
      <c r="Y3" s="33" t="s">
        <v>119</v>
      </c>
      <c r="Z3" s="33" t="s">
        <v>122</v>
      </c>
      <c r="AA3" s="33" t="s">
        <v>127</v>
      </c>
      <c r="AB3" s="33" t="s">
        <v>207</v>
      </c>
      <c r="AC3" s="33" t="s">
        <v>208</v>
      </c>
      <c r="AD3" s="33" t="s">
        <v>140</v>
      </c>
      <c r="AE3" s="33" t="s">
        <v>209</v>
      </c>
      <c r="AF3" s="33" t="s">
        <v>152</v>
      </c>
      <c r="AG3" s="33" t="s">
        <v>153</v>
      </c>
      <c r="AH3" s="33" t="s">
        <v>210</v>
      </c>
      <c r="AI3" s="33" t="s">
        <v>211</v>
      </c>
      <c r="AJ3" s="33" t="s">
        <v>163</v>
      </c>
      <c r="AK3" s="33" t="s">
        <v>165</v>
      </c>
      <c r="AL3" s="33" t="s">
        <v>167</v>
      </c>
      <c r="AM3" s="33" t="s">
        <v>171</v>
      </c>
      <c r="AN3" s="33" t="s">
        <v>212</v>
      </c>
      <c r="AO3" s="33" t="s">
        <v>179</v>
      </c>
      <c r="AP3" s="33" t="s">
        <v>182</v>
      </c>
      <c r="AQ3" s="33" t="s">
        <v>183</v>
      </c>
      <c r="AR3" s="33" t="s">
        <v>213</v>
      </c>
      <c r="AS3" s="33" t="s">
        <v>214</v>
      </c>
      <c r="AT3" s="33" t="s">
        <v>215</v>
      </c>
    </row>
    <row r="4" spans="1:46" ht="72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30"/>
      <c r="L4" s="31" t="s">
        <v>7</v>
      </c>
      <c r="M4" s="33" t="s">
        <v>29</v>
      </c>
      <c r="N4" s="33" t="s">
        <v>39</v>
      </c>
      <c r="O4" s="33" t="s">
        <v>216</v>
      </c>
      <c r="P4" s="33" t="s">
        <v>61</v>
      </c>
      <c r="Q4" s="33" t="s">
        <v>67</v>
      </c>
      <c r="R4" s="33" t="s">
        <v>39</v>
      </c>
      <c r="S4" s="33" t="s">
        <v>73</v>
      </c>
      <c r="T4" s="33" t="s">
        <v>217</v>
      </c>
      <c r="U4" s="33" t="s">
        <v>98</v>
      </c>
      <c r="V4" s="33" t="s">
        <v>61</v>
      </c>
      <c r="W4" s="33" t="s">
        <v>67</v>
      </c>
      <c r="X4" s="33" t="s">
        <v>113</v>
      </c>
      <c r="Y4" s="33" t="s">
        <v>73</v>
      </c>
      <c r="Z4" s="33" t="s">
        <v>121</v>
      </c>
      <c r="AA4" s="33" t="s">
        <v>113</v>
      </c>
      <c r="AB4" s="33" t="s">
        <v>217</v>
      </c>
      <c r="AC4" s="33" t="s">
        <v>133</v>
      </c>
      <c r="AD4" s="33" t="s">
        <v>98</v>
      </c>
      <c r="AE4" s="33" t="s">
        <v>218</v>
      </c>
      <c r="AF4" s="33" t="s">
        <v>151</v>
      </c>
      <c r="AG4" s="33" t="s">
        <v>133</v>
      </c>
      <c r="AH4" s="33" t="s">
        <v>156</v>
      </c>
      <c r="AI4" s="33" t="s">
        <v>218</v>
      </c>
      <c r="AJ4" s="33" t="s">
        <v>156</v>
      </c>
      <c r="AK4" s="33" t="s">
        <v>151</v>
      </c>
      <c r="AL4" s="33" t="s">
        <v>156</v>
      </c>
      <c r="AM4" s="33" t="s">
        <v>170</v>
      </c>
      <c r="AN4" s="33" t="s">
        <v>113</v>
      </c>
      <c r="AO4" s="33" t="s">
        <v>61</v>
      </c>
      <c r="AP4" s="33" t="s">
        <v>133</v>
      </c>
      <c r="AQ4" s="33" t="s">
        <v>170</v>
      </c>
      <c r="AR4" s="33" t="s">
        <v>219</v>
      </c>
      <c r="AS4" s="33" t="s">
        <v>156</v>
      </c>
      <c r="AT4" s="33" t="s">
        <v>133</v>
      </c>
    </row>
    <row r="5" spans="1:46" ht="43.2" x14ac:dyDescent="0.3">
      <c r="A5" s="11" t="s">
        <v>220</v>
      </c>
      <c r="B5" s="11" t="s">
        <v>221</v>
      </c>
      <c r="C5" s="11" t="s">
        <v>222</v>
      </c>
      <c r="D5" s="27" t="s">
        <v>275</v>
      </c>
      <c r="E5" s="27" t="s">
        <v>276</v>
      </c>
      <c r="F5" s="27" t="s">
        <v>277</v>
      </c>
      <c r="G5" s="27" t="s">
        <v>278</v>
      </c>
      <c r="H5" s="27" t="s">
        <v>279</v>
      </c>
      <c r="I5" s="27" t="s">
        <v>280</v>
      </c>
      <c r="J5" s="27" t="s">
        <v>281</v>
      </c>
      <c r="K5" s="28" t="s">
        <v>282</v>
      </c>
      <c r="L5" s="23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6"/>
    </row>
    <row r="6" spans="1:46" x14ac:dyDescent="0.3">
      <c r="A6" s="4" t="s">
        <v>223</v>
      </c>
      <c r="B6" s="4" t="s">
        <v>29</v>
      </c>
      <c r="C6" s="4"/>
      <c r="D6" s="29">
        <f>COUNTIF(M6:AT6,"I")</f>
        <v>4</v>
      </c>
      <c r="E6" s="29">
        <f>COUNTIF(M6:AT6,"AA")</f>
        <v>4</v>
      </c>
      <c r="F6" s="29">
        <f>D6+E6</f>
        <v>8</v>
      </c>
      <c r="G6" s="29">
        <f>COUNTIF(M6:AT6,"S")</f>
        <v>3</v>
      </c>
      <c r="H6" s="29">
        <f>IF(M6="I",180,0)+IF(N6="I",90,0)+IF(O6="I",180,0)+IF(P6="I",180,0)+IF(Q6="I",180,0)+IF(R6="I",90,0)+IF(S6="I",180,0)+IF(T6="I",105,0)+IF(U6="I",180,0)+IF(V6="I",180,0)+IF(W6="I",120,0)+IF(X6="I",120,0)+IF(Y6="I",180,0)+IF(Z6="I",180,0)+IF(AA6="I",120,0)+IF(AB6="I",180,0)+IF(AC6="I",120,0)+IF(AD6="I",150,0)+IF(AE6="I",180,0)+IF(AF6="I",180,0)+IF(AG6="I",120,0)+IF(AH6="I",120,0)+IF(AI6="I",180,0)+IF(AJ6="I",120,0)+IF(AK6="I",180,0)+IF(AL6="I",150,0)+IF(AM6="I",180,0)+IF(AN6="I",60,0)+IF(AO6="I",180,0)+IF(AP6="I",180,0)+IF(AQ6="I",180,0)+IF(AR6="I",195,0)+IF(AS6="I",60,0)+IF(AT6="I",60,0)+IF(M6="AA",225,0)+IF(N6="AA",115,0)+IF(O6="AA",225,0)+IF(P6="AA",225,0)+IF(Q6="AA",225,0)+IF(R6="AA",115,0)+IF(S6="AA",225,0)+IF(T6="AA",135,0)+IF(U6="AA",225,0)+IF(V6="AA",225,0)+IF(W6="AA",150,0)+IF(X6="AA",150,0)+IF(Y6="AA",225,0)+IF(Z6="AA",225,0)+IF(AA6="AA",150,0)+IF(AB6="AA",225,0)+IF(AC6="AA",150,0)+IF(AD6="AA",190,0)+IF(AE6="AA",225,0)+IF(AF6="AA",225,0)+IF(AG6="AA",150,0)+IF(AH6="AA",150,0)+IF(AI6="AA",225,0)+IF(AJ6="AA",150,0)+IF(AK6="AA",225,0)+IF(AL6="AA",190,0)+IF(AM6="AA",225,0)+IF(AN6="AA",75,0)+IF(AO6="AA",225,0)+IF(AP6="AA",225,0)+IF(AQ6="AA",225,0)+IF(AR6="AA",245,0)+IF(AS6="AA",75,0)+IF(AT6="AA",75,0)</f>
        <v>1425</v>
      </c>
      <c r="I6" s="29">
        <f>COUNTIF(M6,"I")+COUNTIF(M6,"AA")+COUNTIF(M6,"S")+COUNTIF(N6,"I")+COUNTIF(N6,"AA")+COUNTIF(N6,"S")+COUNTIF(P6,"I")+COUNTIF(P6,"AA")+COUNTIF(P6,"S")+COUNTIF(R6,"I")+COUNTIF(R6,"AA")+COUNTIF(R6,"S")+COUNTIF(T6,"I")+COUNTIF(T6,"AA")+COUNTIF(T6,"S")+COUNTIF(V6,"I")+COUNTIF(V6,"AA")+COUNTIF(V6,"S")+COUNTIF(Y6,"I")+COUNTIF(Y6,"AA")+COUNTIF(Y6,"S")+COUNTIF(AA6,"I")+COUNTIF(AA6,"AA")+COUNTIF(AA6,"S")+COUNTIF(AC6,"I")+COUNTIF(AC6,"AA")+COUNTIF(AC6,"S")+COUNTIF(AD6,"I")+COUNTIF(AD6,"AA")+COUNTIF(AD6,"S")+COUNTIF(AF6,"I")+COUNTIF(AF6,"AA")+COUNTIF(AF6,"S")+COUNTIF(AH6,"I")+COUNTIF(AH6,"AA")+COUNTIF(AH6,"S")+COUNTIF(AK6,"I")+COUNTIF(AK6,"AA")+COUNTIF(AK6,"S")+COUNTIF(AM6,"I")+COUNTIF(AM6,"AA")+COUNTIF(AM6,"S")+COUNTIF(AP6,"I")+COUNTIF(AP6,"AA")+COUNTIF(AP6,"S")+COUNTIF(AR6,"I")+COUNTIF(AR6,"AA")+COUNTIF(AR6,"S")+COUNTIF(AT6,"I")+COUNTIF(AT6,"AA")+COUNTIF(AT6,"S")</f>
        <v>6</v>
      </c>
      <c r="J6" s="29">
        <f>COUNTIF(O6,"I")+COUNTIF(O6,"AA")+COUNTIF(O6,"S")+COUNTIF(Q6,"I")+COUNTIF(Q6,"AA")+COUNTIF(Q6,"S")+COUNTIF(S6,"I")+COUNTIF(S6,"AA")+COUNTIF(S6,"S")+COUNTIF(U6,"I")+COUNTIF(U6,"AA")+COUNTIF(U6,"S")+COUNTIF(W6,"I")+COUNTIF(W6,"AA")+COUNTIF(W6,"S")+COUNTIF(X6,"I")+COUNTIF(X6,"AA")+COUNTIF(X6,"S")+COUNTIF(Z6,"I")+COUNTIF(Z6,"AA")+COUNTIF(Z6,"S")+COUNTIF(AB6,"I")+COUNTIF(AB6,"AA")+COUNTIF(AB6,"S")+COUNTIF(AE6,"I")+COUNTIF(AE6,"AA")+COUNTIF(AE6,"S")+COUNTIF(AG6,"I")+COUNTIF(AG6,"AA")+COUNTIF(AG6,"S")+COUNTIF(AI6,"I")+COUNTIF(AI6,"AA")+COUNTIF(AI6,"S")+COUNTIF(AJ6,"I")+COUNTIF(AJ6,"AA")+COUNTIF(AJ6,"S")+COUNTIF(AL6,"I")+COUNTIF(AL6,"AA")+COUNTIF(AL6,"S")+COUNTIF(AN6,"I")+COUNTIF(AN6,"AA")+COUNTIF(AN6,"S")+COUNTIF(AO6,"I")+COUNTIF(AO6,"AA")+COUNTIF(AO6,"S")+COUNTIF(AQ6,"I")+COUNTIF(AQ6,"AA")+COUNTIF(AQ6,"S")+COUNTIF(AS6,"I")+COUNTIF(AS6,"AA")+COUNTIF(AS6,"S")</f>
        <v>5</v>
      </c>
      <c r="K6" s="29">
        <f>IF(AND((COUNTIF(N6,"I")+COUNTIF(N6,"AA")+COUNTIF(N6,"S"))&gt;0,(COUNTIF(O6,"I")+COUNTIF(O6,"AA")+COUNTIF(O6,"S"))&gt;0),1,0)+IF(AND((COUNTIF(P6,"I")+COUNTIF(P6,"AA")+COUNTIF(P6,"S"))&gt;0,(COUNTIF(Q6,"I")+COUNTIF(Q6,"AA")+COUNTIF(Q6,"S"))&gt;0),1,0)+IF(AND((COUNTIF(R6,"I")+COUNTIF(R6,"AA")+COUNTIF(R6,"S"))&gt;0,(COUNTIF(S6,"I")+COUNTIF(S6,"AA")+COUNTIF(S6,"S"))&gt;0),1,0)+IF(AND((COUNTIF(T6,"I")+COUNTIF(T6,"AA")+COUNTIF(T6,"S"))&gt;0,(COUNTIF(U6,"I")+COUNTIF(U6,"AA")+COUNTIF(U6,"S"))&gt;0),1,0)+IF(AND((COUNTIF(V6,"I")+COUNTIF(V6,"AA")+COUNTIF(V6,"S"))&gt;0,(COUNTIF(W6,"I")+COUNTIF(W6,"AA")+COUNTIF(W6,"S"))&gt;0),1,0)+IF(AND((COUNTIF(Y6,"I")+COUNTIF(Y6,"AA")+COUNTIF(Y6,"S"))&gt;0,(COUNTIF(Z6,"I")+COUNTIF(Z6,"AA")+COUNTIF(Z6,"S"))&gt;0),1,0)+IF(AND((COUNTIF(AA6,"I")+COUNTIF(AA6,"AA")+COUNTIF(AA6,"S"))&gt;0,(COUNTIF(AB6,"I")+COUNTIF(AB6,"AA")+COUNTIF(AB6,"S"))&gt;0),1,0)+IF(AND((COUNTIF(AD6,"I")+COUNTIF(AD6,"AA")+COUNTIF(AD6,"S"))&gt;0,(COUNTIF(AE6,"I")+COUNTIF(AE6,"AA")+COUNTIF(AE6,"S"))&gt;0),1,0)+IF(AND((COUNTIF(AF6,"I")+COUNTIF(AF6,"AA")+COUNTIF(AF6,"S"))&gt;0,(COUNTIF(AG6,"I")+COUNTIF(AG6,"AA")+COUNTIF(AG6,"S"))&gt;0),1,0)+IF(AND((COUNTIF(AH6,"I")+COUNTIF(AH6,"AA")+COUNTIF(AH6,"S"))&gt;0,(COUNTIF(AI6,"I")+COUNTIF(AI6,"AA")+COUNTIF(AI6,"S"))&gt;0),1,0)+IF(AND((COUNTIF(AK6,"I")+COUNTIF(AK6,"AA")+COUNTIF(AK6,"S"))&gt;0,(COUNTIF(AL6,"I")+COUNTIF(AL6,"AA")+COUNTIF(AL6,"S"))&gt;0),1,0)+IF(AND((COUNTIF(AM6,"I")+COUNTIF(AM6,"AA")+COUNTIF(AM6,"S"))&gt;0,(COUNTIF(AN6,"I")+COUNTIF(AN6,"AA")+COUNTIF(AN6,"S"))&gt;0),1,0)+IF(AND((COUNTIF(AP6,"I")+COUNTIF(AP6,"AA")+COUNTIF(AP6,"S"))&gt;0,(COUNTIF(AQ6,"I")+COUNTIF(AQ6,"AA")+COUNTIF(AQ6,"S"))&gt;0),1,0)+IF(AND((COUNTIF(AR6,"I")+COUNTIF(AR6,"AA")+COUNTIF(AR6,"S"))&gt;0,(COUNTIF(AS6,"I")+COUNTIF(AS6,"AA")+COUNTIF(AS6,"S"))&gt;0),1,0)</f>
        <v>0</v>
      </c>
      <c r="L6" s="22"/>
      <c r="M6" s="24"/>
      <c r="N6" s="24"/>
      <c r="O6" s="34" t="s">
        <v>285</v>
      </c>
      <c r="P6" s="34" t="s">
        <v>24</v>
      </c>
      <c r="Q6" s="24"/>
      <c r="R6" s="34" t="s">
        <v>285</v>
      </c>
      <c r="S6" s="24"/>
      <c r="T6" s="34" t="s">
        <v>284</v>
      </c>
      <c r="U6" s="24" t="s">
        <v>283</v>
      </c>
      <c r="V6" s="34" t="s">
        <v>24</v>
      </c>
      <c r="W6" s="24"/>
      <c r="X6" s="24"/>
      <c r="Y6" s="24"/>
      <c r="Z6" s="24"/>
      <c r="AA6" s="24"/>
      <c r="AB6" s="34" t="s">
        <v>284</v>
      </c>
      <c r="AC6" s="24"/>
      <c r="AD6" s="24"/>
      <c r="AE6" s="24"/>
      <c r="AF6" s="24"/>
      <c r="AG6" s="24"/>
      <c r="AH6" s="24"/>
      <c r="AI6" s="34" t="s">
        <v>24</v>
      </c>
      <c r="AJ6" s="24"/>
      <c r="AK6" s="34" t="s">
        <v>24</v>
      </c>
      <c r="AL6" s="24"/>
      <c r="AM6" s="24"/>
      <c r="AN6" s="34" t="s">
        <v>285</v>
      </c>
      <c r="AO6" s="34" t="s">
        <v>284</v>
      </c>
      <c r="AP6" s="24"/>
      <c r="AQ6" s="24"/>
      <c r="AR6" s="34" t="s">
        <v>285</v>
      </c>
      <c r="AS6" s="24"/>
      <c r="AT6" s="24" t="s">
        <v>283</v>
      </c>
    </row>
    <row r="7" spans="1:46" x14ac:dyDescent="0.3">
      <c r="A7" s="4" t="s">
        <v>224</v>
      </c>
      <c r="B7" s="4" t="s">
        <v>29</v>
      </c>
      <c r="C7" s="4"/>
      <c r="D7" s="29">
        <f>COUNTIF(M7:AT7,"I")</f>
        <v>5</v>
      </c>
      <c r="E7" s="29">
        <f>COUNTIF(M7:AT7,"AA")</f>
        <v>4</v>
      </c>
      <c r="F7" s="29">
        <f>D7+E7</f>
        <v>9</v>
      </c>
      <c r="G7" s="29">
        <f>COUNTIF(M7:AT7,"S")</f>
        <v>3</v>
      </c>
      <c r="H7" s="29">
        <f>IF(M7="I",180,0)+IF(N7="I",90,0)+IF(O7="I",180,0)+IF(P7="I",180,0)+IF(Q7="I",180,0)+IF(R7="I",90,0)+IF(S7="I",180,0)+IF(T7="I",105,0)+IF(U7="I",180,0)+IF(V7="I",180,0)+IF(W7="I",120,0)+IF(X7="I",120,0)+IF(Y7="I",180,0)+IF(Z7="I",180,0)+IF(AA7="I",120,0)+IF(AB7="I",180,0)+IF(AC7="I",120,0)+IF(AD7="I",150,0)+IF(AE7="I",180,0)+IF(AF7="I",180,0)+IF(AG7="I",120,0)+IF(AH7="I",120,0)+IF(AI7="I",180,0)+IF(AJ7="I",120,0)+IF(AK7="I",180,0)+IF(AL7="I",150,0)+IF(AM7="I",180,0)+IF(AN7="I",60,0)+IF(AO7="I",180,0)+IF(AP7="I",180,0)+IF(AQ7="I",180,0)+IF(AR7="I",195,0)+IF(AS7="I",60,0)+IF(AT7="I",60,0)+IF(M7="AA",225,0)+IF(N7="AA",115,0)+IF(O7="AA",225,0)+IF(P7="AA",225,0)+IF(Q7="AA",225,0)+IF(R7="AA",115,0)+IF(S7="AA",225,0)+IF(T7="AA",135,0)+IF(U7="AA",225,0)+IF(V7="AA",225,0)+IF(W7="AA",150,0)+IF(X7="AA",150,0)+IF(Y7="AA",225,0)+IF(Z7="AA",225,0)+IF(AA7="AA",150,0)+IF(AB7="AA",225,0)+IF(AC7="AA",150,0)+IF(AD7="AA",190,0)+IF(AE7="AA",225,0)+IF(AF7="AA",225,0)+IF(AG7="AA",150,0)+IF(AH7="AA",150,0)+IF(AI7="AA",225,0)+IF(AJ7="AA",150,0)+IF(AK7="AA",225,0)+IF(AL7="AA",190,0)+IF(AM7="AA",225,0)+IF(AN7="AA",75,0)+IF(AO7="AA",225,0)+IF(AP7="AA",225,0)+IF(AQ7="AA",225,0)+IF(AR7="AA",245,0)+IF(AS7="AA",75,0)+IF(AT7="AA",75,0)</f>
        <v>1505</v>
      </c>
      <c r="I7" s="29">
        <f>COUNTIF(M7,"I")+COUNTIF(M7,"AA")+COUNTIF(M7,"S")+COUNTIF(N7,"I")+COUNTIF(N7,"AA")+COUNTIF(N7,"S")+COUNTIF(P7,"I")+COUNTIF(P7,"AA")+COUNTIF(P7,"S")+COUNTIF(R7,"I")+COUNTIF(R7,"AA")+COUNTIF(R7,"S")+COUNTIF(T7,"I")+COUNTIF(T7,"AA")+COUNTIF(T7,"S")+COUNTIF(V7,"I")+COUNTIF(V7,"AA")+COUNTIF(V7,"S")+COUNTIF(Y7,"I")+COUNTIF(Y7,"AA")+COUNTIF(Y7,"S")+COUNTIF(AA7,"I")+COUNTIF(AA7,"AA")+COUNTIF(AA7,"S")+COUNTIF(AC7,"I")+COUNTIF(AC7,"AA")+COUNTIF(AC7,"S")+COUNTIF(AD7,"I")+COUNTIF(AD7,"AA")+COUNTIF(AD7,"S")+COUNTIF(AF7,"I")+COUNTIF(AF7,"AA")+COUNTIF(AF7,"S")+COUNTIF(AH7,"I")+COUNTIF(AH7,"AA")+COUNTIF(AH7,"S")+COUNTIF(AK7,"I")+COUNTIF(AK7,"AA")+COUNTIF(AK7,"S")+COUNTIF(AM7,"I")+COUNTIF(AM7,"AA")+COUNTIF(AM7,"S")+COUNTIF(AP7,"I")+COUNTIF(AP7,"AA")+COUNTIF(AP7,"S")+COUNTIF(AR7,"I")+COUNTIF(AR7,"AA")+COUNTIF(AR7,"S")+COUNTIF(AT7,"I")+COUNTIF(AT7,"AA")+COUNTIF(AT7,"S")</f>
        <v>5</v>
      </c>
      <c r="J7" s="29">
        <f>COUNTIF(O7,"I")+COUNTIF(O7,"AA")+COUNTIF(O7,"S")+COUNTIF(Q7,"I")+COUNTIF(Q7,"AA")+COUNTIF(Q7,"S")+COUNTIF(S7,"I")+COUNTIF(S7,"AA")+COUNTIF(S7,"S")+COUNTIF(U7,"I")+COUNTIF(U7,"AA")+COUNTIF(U7,"S")+COUNTIF(W7,"I")+COUNTIF(W7,"AA")+COUNTIF(W7,"S")+COUNTIF(X7,"I")+COUNTIF(X7,"AA")+COUNTIF(X7,"S")+COUNTIF(Z7,"I")+COUNTIF(Z7,"AA")+COUNTIF(Z7,"S")+COUNTIF(AB7,"I")+COUNTIF(AB7,"AA")+COUNTIF(AB7,"S")+COUNTIF(AE7,"I")+COUNTIF(AE7,"AA")+COUNTIF(AE7,"S")+COUNTIF(AG7,"I")+COUNTIF(AG7,"AA")+COUNTIF(AG7,"S")+COUNTIF(AI7,"I")+COUNTIF(AI7,"AA")+COUNTIF(AI7,"S")+COUNTIF(AJ7,"I")+COUNTIF(AJ7,"AA")+COUNTIF(AJ7,"S")+COUNTIF(AL7,"I")+COUNTIF(AL7,"AA")+COUNTIF(AL7,"S")+COUNTIF(AN7,"I")+COUNTIF(AN7,"AA")+COUNTIF(AN7,"S")+COUNTIF(AO7,"I")+COUNTIF(AO7,"AA")+COUNTIF(AO7,"S")+COUNTIF(AQ7,"I")+COUNTIF(AQ7,"AA")+COUNTIF(AQ7,"S")+COUNTIF(AS7,"I")+COUNTIF(AS7,"AA")+COUNTIF(AS7,"S")</f>
        <v>7</v>
      </c>
      <c r="K7" s="29">
        <f>IF(AND((COUNTIF(N7,"I")+COUNTIF(N7,"AA")+COUNTIF(N7,"S"))&gt;0,(COUNTIF(O7,"I")+COUNTIF(O7,"AA")+COUNTIF(O7,"S"))&gt;0),1,0)+IF(AND((COUNTIF(P7,"I")+COUNTIF(P7,"AA")+COUNTIF(P7,"S"))&gt;0,(COUNTIF(Q7,"I")+COUNTIF(Q7,"AA")+COUNTIF(Q7,"S"))&gt;0),1,0)+IF(AND((COUNTIF(R7,"I")+COUNTIF(R7,"AA")+COUNTIF(R7,"S"))&gt;0,(COUNTIF(S7,"I")+COUNTIF(S7,"AA")+COUNTIF(S7,"S"))&gt;0),1,0)+IF(AND((COUNTIF(T7,"I")+COUNTIF(T7,"AA")+COUNTIF(T7,"S"))&gt;0,(COUNTIF(U7,"I")+COUNTIF(U7,"AA")+COUNTIF(U7,"S"))&gt;0),1,0)+IF(AND((COUNTIF(V7,"I")+COUNTIF(V7,"AA")+COUNTIF(V7,"S"))&gt;0,(COUNTIF(W7,"I")+COUNTIF(W7,"AA")+COUNTIF(W7,"S"))&gt;0),1,0)+IF(AND((COUNTIF(Y7,"I")+COUNTIF(Y7,"AA")+COUNTIF(Y7,"S"))&gt;0,(COUNTIF(Z7,"I")+COUNTIF(Z7,"AA")+COUNTIF(Z7,"S"))&gt;0),1,0)+IF(AND((COUNTIF(AA7,"I")+COUNTIF(AA7,"AA")+COUNTIF(AA7,"S"))&gt;0,(COUNTIF(AB7,"I")+COUNTIF(AB7,"AA")+COUNTIF(AB7,"S"))&gt;0),1,0)+IF(AND((COUNTIF(AD7,"I")+COUNTIF(AD7,"AA")+COUNTIF(AD7,"S"))&gt;0,(COUNTIF(AE7,"I")+COUNTIF(AE7,"AA")+COUNTIF(AE7,"S"))&gt;0),1,0)+IF(AND((COUNTIF(AF7,"I")+COUNTIF(AF7,"AA")+COUNTIF(AF7,"S"))&gt;0,(COUNTIF(AG7,"I")+COUNTIF(AG7,"AA")+COUNTIF(AG7,"S"))&gt;0),1,0)+IF(AND((COUNTIF(AH7,"I")+COUNTIF(AH7,"AA")+COUNTIF(AH7,"S"))&gt;0,(COUNTIF(AI7,"I")+COUNTIF(AI7,"AA")+COUNTIF(AI7,"S"))&gt;0),1,0)+IF(AND((COUNTIF(AK7,"I")+COUNTIF(AK7,"AA")+COUNTIF(AK7,"S"))&gt;0,(COUNTIF(AL7,"I")+COUNTIF(AL7,"AA")+COUNTIF(AL7,"S"))&gt;0),1,0)+IF(AND((COUNTIF(AM7,"I")+COUNTIF(AM7,"AA")+COUNTIF(AM7,"S"))&gt;0,(COUNTIF(AN7,"I")+COUNTIF(AN7,"AA")+COUNTIF(AN7,"S"))&gt;0),1,0)+IF(AND((COUNTIF(AP7,"I")+COUNTIF(AP7,"AA")+COUNTIF(AP7,"S"))&gt;0,(COUNTIF(AQ7,"I")+COUNTIF(AQ7,"AA")+COUNTIF(AQ7,"S"))&gt;0),1,0)+IF(AND((COUNTIF(AR7,"I")+COUNTIF(AR7,"AA")+COUNTIF(AR7,"S"))&gt;0,(COUNTIF(AS7,"I")+COUNTIF(AS7,"AA")+COUNTIF(AS7,"S"))&gt;0),1,0)</f>
        <v>1</v>
      </c>
      <c r="L7" s="22"/>
      <c r="M7" s="24"/>
      <c r="N7" s="24" t="s">
        <v>283</v>
      </c>
      <c r="O7" s="34" t="s">
        <v>284</v>
      </c>
      <c r="P7" s="24"/>
      <c r="Q7" s="24"/>
      <c r="R7" s="24"/>
      <c r="S7" s="34" t="s">
        <v>285</v>
      </c>
      <c r="T7" s="34" t="s">
        <v>24</v>
      </c>
      <c r="U7" s="34" t="s">
        <v>24</v>
      </c>
      <c r="V7" s="34" t="s">
        <v>285</v>
      </c>
      <c r="W7" s="24"/>
      <c r="X7" s="24"/>
      <c r="Y7" s="24"/>
      <c r="Z7" s="24"/>
      <c r="AA7" s="24"/>
      <c r="AB7" s="34" t="s">
        <v>284</v>
      </c>
      <c r="AC7" s="24"/>
      <c r="AD7" s="34" t="s">
        <v>284</v>
      </c>
      <c r="AE7" s="24"/>
      <c r="AF7" s="24"/>
      <c r="AG7" s="24"/>
      <c r="AH7" s="34" t="s">
        <v>24</v>
      </c>
      <c r="AI7" s="24"/>
      <c r="AJ7" s="24"/>
      <c r="AK7" s="24"/>
      <c r="AL7" s="34" t="s">
        <v>285</v>
      </c>
      <c r="AM7" s="24"/>
      <c r="AN7" s="34" t="s">
        <v>285</v>
      </c>
      <c r="AO7" s="34" t="s">
        <v>285</v>
      </c>
      <c r="AP7" s="24"/>
      <c r="AQ7" s="24"/>
      <c r="AR7" s="34" t="s">
        <v>24</v>
      </c>
      <c r="AS7" s="24"/>
      <c r="AT7" s="24"/>
    </row>
    <row r="8" spans="1:46" x14ac:dyDescent="0.3">
      <c r="A8" s="4" t="s">
        <v>225</v>
      </c>
      <c r="B8" s="4" t="s">
        <v>29</v>
      </c>
      <c r="C8" s="4"/>
      <c r="D8" s="29">
        <f>COUNTIF(M8:AT8,"I")</f>
        <v>5</v>
      </c>
      <c r="E8" s="29">
        <f>COUNTIF(M8:AT8,"AA")</f>
        <v>4</v>
      </c>
      <c r="F8" s="29">
        <f>D8+E8</f>
        <v>9</v>
      </c>
      <c r="G8" s="29">
        <f>COUNTIF(M8:AT8,"S")</f>
        <v>2</v>
      </c>
      <c r="H8" s="29">
        <f>IF(M8="I",180,0)+IF(N8="I",90,0)+IF(O8="I",180,0)+IF(P8="I",180,0)+IF(Q8="I",180,0)+IF(R8="I",90,0)+IF(S8="I",180,0)+IF(T8="I",105,0)+IF(U8="I",180,0)+IF(V8="I",180,0)+IF(W8="I",120,0)+IF(X8="I",120,0)+IF(Y8="I",180,0)+IF(Z8="I",180,0)+IF(AA8="I",120,0)+IF(AB8="I",180,0)+IF(AC8="I",120,0)+IF(AD8="I",150,0)+IF(AE8="I",180,0)+IF(AF8="I",180,0)+IF(AG8="I",120,0)+IF(AH8="I",120,0)+IF(AI8="I",180,0)+IF(AJ8="I",120,0)+IF(AK8="I",180,0)+IF(AL8="I",150,0)+IF(AM8="I",180,0)+IF(AN8="I",60,0)+IF(AO8="I",180,0)+IF(AP8="I",180,0)+IF(AQ8="I",180,0)+IF(AR8="I",195,0)+IF(AS8="I",60,0)+IF(AT8="I",60,0)+IF(M8="AA",225,0)+IF(N8="AA",115,0)+IF(O8="AA",225,0)+IF(P8="AA",225,0)+IF(Q8="AA",225,0)+IF(R8="AA",115,0)+IF(S8="AA",225,0)+IF(T8="AA",135,0)+IF(U8="AA",225,0)+IF(V8="AA",225,0)+IF(W8="AA",150,0)+IF(X8="AA",150,0)+IF(Y8="AA",225,0)+IF(Z8="AA",225,0)+IF(AA8="AA",150,0)+IF(AB8="AA",225,0)+IF(AC8="AA",150,0)+IF(AD8="AA",190,0)+IF(AE8="AA",225,0)+IF(AF8="AA",225,0)+IF(AG8="AA",150,0)+IF(AH8="AA",150,0)+IF(AI8="AA",225,0)+IF(AJ8="AA",150,0)+IF(AK8="AA",225,0)+IF(AL8="AA",190,0)+IF(AM8="AA",225,0)+IF(AN8="AA",75,0)+IF(AO8="AA",225,0)+IF(AP8="AA",225,0)+IF(AQ8="AA",225,0)+IF(AR8="AA",245,0)+IF(AS8="AA",75,0)+IF(AT8="AA",75,0)</f>
        <v>1530</v>
      </c>
      <c r="I8" s="29">
        <f>COUNTIF(M8,"I")+COUNTIF(M8,"AA")+COUNTIF(M8,"S")+COUNTIF(N8,"I")+COUNTIF(N8,"AA")+COUNTIF(N8,"S")+COUNTIF(P8,"I")+COUNTIF(P8,"AA")+COUNTIF(P8,"S")+COUNTIF(R8,"I")+COUNTIF(R8,"AA")+COUNTIF(R8,"S")+COUNTIF(T8,"I")+COUNTIF(T8,"AA")+COUNTIF(T8,"S")+COUNTIF(V8,"I")+COUNTIF(V8,"AA")+COUNTIF(V8,"S")+COUNTIF(Y8,"I")+COUNTIF(Y8,"AA")+COUNTIF(Y8,"S")+COUNTIF(AA8,"I")+COUNTIF(AA8,"AA")+COUNTIF(AA8,"S")+COUNTIF(AC8,"I")+COUNTIF(AC8,"AA")+COUNTIF(AC8,"S")+COUNTIF(AD8,"I")+COUNTIF(AD8,"AA")+COUNTIF(AD8,"S")+COUNTIF(AF8,"I")+COUNTIF(AF8,"AA")+COUNTIF(AF8,"S")+COUNTIF(AH8,"I")+COUNTIF(AH8,"AA")+COUNTIF(AH8,"S")+COUNTIF(AK8,"I")+COUNTIF(AK8,"AA")+COUNTIF(AK8,"S")+COUNTIF(AM8,"I")+COUNTIF(AM8,"AA")+COUNTIF(AM8,"S")+COUNTIF(AP8,"I")+COUNTIF(AP8,"AA")+COUNTIF(AP8,"S")+COUNTIF(AR8,"I")+COUNTIF(AR8,"AA")+COUNTIF(AR8,"S")+COUNTIF(AT8,"I")+COUNTIF(AT8,"AA")+COUNTIF(AT8,"S")</f>
        <v>6</v>
      </c>
      <c r="J8" s="29">
        <f>COUNTIF(O8,"I")+COUNTIF(O8,"AA")+COUNTIF(O8,"S")+COUNTIF(Q8,"I")+COUNTIF(Q8,"AA")+COUNTIF(Q8,"S")+COUNTIF(S8,"I")+COUNTIF(S8,"AA")+COUNTIF(S8,"S")+COUNTIF(U8,"I")+COUNTIF(U8,"AA")+COUNTIF(U8,"S")+COUNTIF(W8,"I")+COUNTIF(W8,"AA")+COUNTIF(W8,"S")+COUNTIF(X8,"I")+COUNTIF(X8,"AA")+COUNTIF(X8,"S")+COUNTIF(Z8,"I")+COUNTIF(Z8,"AA")+COUNTIF(Z8,"S")+COUNTIF(AB8,"I")+COUNTIF(AB8,"AA")+COUNTIF(AB8,"S")+COUNTIF(AE8,"I")+COUNTIF(AE8,"AA")+COUNTIF(AE8,"S")+COUNTIF(AG8,"I")+COUNTIF(AG8,"AA")+COUNTIF(AG8,"S")+COUNTIF(AI8,"I")+COUNTIF(AI8,"AA")+COUNTIF(AI8,"S")+COUNTIF(AJ8,"I")+COUNTIF(AJ8,"AA")+COUNTIF(AJ8,"S")+COUNTIF(AL8,"I")+COUNTIF(AL8,"AA")+COUNTIF(AL8,"S")+COUNTIF(AN8,"I")+COUNTIF(AN8,"AA")+COUNTIF(AN8,"S")+COUNTIF(AO8,"I")+COUNTIF(AO8,"AA")+COUNTIF(AO8,"S")+COUNTIF(AQ8,"I")+COUNTIF(AQ8,"AA")+COUNTIF(AQ8,"S")+COUNTIF(AS8,"I")+COUNTIF(AS8,"AA")+COUNTIF(AS8,"S")</f>
        <v>5</v>
      </c>
      <c r="K8" s="29">
        <f>IF(AND((COUNTIF(N8,"I")+COUNTIF(N8,"AA")+COUNTIF(N8,"S"))&gt;0,(COUNTIF(O8,"I")+COUNTIF(O8,"AA")+COUNTIF(O8,"S"))&gt;0),1,0)+IF(AND((COUNTIF(P8,"I")+COUNTIF(P8,"AA")+COUNTIF(P8,"S"))&gt;0,(COUNTIF(Q8,"I")+COUNTIF(Q8,"AA")+COUNTIF(Q8,"S"))&gt;0),1,0)+IF(AND((COUNTIF(R8,"I")+COUNTIF(R8,"AA")+COUNTIF(R8,"S"))&gt;0,(COUNTIF(S8,"I")+COUNTIF(S8,"AA")+COUNTIF(S8,"S"))&gt;0),1,0)+IF(AND((COUNTIF(T8,"I")+COUNTIF(T8,"AA")+COUNTIF(T8,"S"))&gt;0,(COUNTIF(U8,"I")+COUNTIF(U8,"AA")+COUNTIF(U8,"S"))&gt;0),1,0)+IF(AND((COUNTIF(V8,"I")+COUNTIF(V8,"AA")+COUNTIF(V8,"S"))&gt;0,(COUNTIF(W8,"I")+COUNTIF(W8,"AA")+COUNTIF(W8,"S"))&gt;0),1,0)+IF(AND((COUNTIF(Y8,"I")+COUNTIF(Y8,"AA")+COUNTIF(Y8,"S"))&gt;0,(COUNTIF(Z8,"I")+COUNTIF(Z8,"AA")+COUNTIF(Z8,"S"))&gt;0),1,0)+IF(AND((COUNTIF(AA8,"I")+COUNTIF(AA8,"AA")+COUNTIF(AA8,"S"))&gt;0,(COUNTIF(AB8,"I")+COUNTIF(AB8,"AA")+COUNTIF(AB8,"S"))&gt;0),1,0)+IF(AND((COUNTIF(AD8,"I")+COUNTIF(AD8,"AA")+COUNTIF(AD8,"S"))&gt;0,(COUNTIF(AE8,"I")+COUNTIF(AE8,"AA")+COUNTIF(AE8,"S"))&gt;0),1,0)+IF(AND((COUNTIF(AF8,"I")+COUNTIF(AF8,"AA")+COUNTIF(AF8,"S"))&gt;0,(COUNTIF(AG8,"I")+COUNTIF(AG8,"AA")+COUNTIF(AG8,"S"))&gt;0),1,0)+IF(AND((COUNTIF(AH8,"I")+COUNTIF(AH8,"AA")+COUNTIF(AH8,"S"))&gt;0,(COUNTIF(AI8,"I")+COUNTIF(AI8,"AA")+COUNTIF(AI8,"S"))&gt;0),1,0)+IF(AND((COUNTIF(AK8,"I")+COUNTIF(AK8,"AA")+COUNTIF(AK8,"S"))&gt;0,(COUNTIF(AL8,"I")+COUNTIF(AL8,"AA")+COUNTIF(AL8,"S"))&gt;0),1,0)+IF(AND((COUNTIF(AM8,"I")+COUNTIF(AM8,"AA")+COUNTIF(AM8,"S"))&gt;0,(COUNTIF(AN8,"I")+COUNTIF(AN8,"AA")+COUNTIF(AN8,"S"))&gt;0),1,0)+IF(AND((COUNTIF(AP8,"I")+COUNTIF(AP8,"AA")+COUNTIF(AP8,"S"))&gt;0,(COUNTIF(AQ8,"I")+COUNTIF(AQ8,"AA")+COUNTIF(AQ8,"S"))&gt;0),1,0)+IF(AND((COUNTIF(AR8,"I")+COUNTIF(AR8,"AA")+COUNTIF(AR8,"S"))&gt;0,(COUNTIF(AS8,"I")+COUNTIF(AS8,"AA")+COUNTIF(AS8,"S"))&gt;0),1,0)</f>
        <v>2</v>
      </c>
      <c r="L8" s="22"/>
      <c r="M8" s="24"/>
      <c r="N8" s="24"/>
      <c r="O8" s="34" t="s">
        <v>284</v>
      </c>
      <c r="P8" s="34" t="s">
        <v>24</v>
      </c>
      <c r="Q8" s="24"/>
      <c r="R8" s="24"/>
      <c r="S8" s="24"/>
      <c r="T8" s="34" t="s">
        <v>24</v>
      </c>
      <c r="U8" s="34" t="s">
        <v>24</v>
      </c>
      <c r="V8" s="34" t="s">
        <v>24</v>
      </c>
      <c r="W8" s="24"/>
      <c r="X8" s="24"/>
      <c r="Y8" s="24"/>
      <c r="Z8" s="24"/>
      <c r="AA8" s="24"/>
      <c r="AB8" s="34" t="s">
        <v>285</v>
      </c>
      <c r="AC8" s="24"/>
      <c r="AD8" s="24"/>
      <c r="AE8" s="24"/>
      <c r="AF8" s="24"/>
      <c r="AG8" s="34" t="s">
        <v>285</v>
      </c>
      <c r="AH8" s="24" t="s">
        <v>283</v>
      </c>
      <c r="AI8" s="24"/>
      <c r="AJ8" s="24"/>
      <c r="AK8" s="34" t="s">
        <v>285</v>
      </c>
      <c r="AL8" s="24"/>
      <c r="AM8" s="34" t="s">
        <v>285</v>
      </c>
      <c r="AN8" s="34" t="s">
        <v>285</v>
      </c>
      <c r="AO8" s="24"/>
      <c r="AP8" s="24"/>
      <c r="AQ8" s="24"/>
      <c r="AR8" s="34" t="s">
        <v>284</v>
      </c>
      <c r="AS8" s="24"/>
      <c r="AT8" s="24"/>
    </row>
    <row r="9" spans="1:46" x14ac:dyDescent="0.3">
      <c r="A9" s="4" t="s">
        <v>226</v>
      </c>
      <c r="B9" s="4" t="s">
        <v>29</v>
      </c>
      <c r="C9" s="4"/>
      <c r="D9" s="29">
        <f>COUNTIF(M9:AT9,"I")</f>
        <v>5</v>
      </c>
      <c r="E9" s="29">
        <f>COUNTIF(M9:AT9,"AA")</f>
        <v>4</v>
      </c>
      <c r="F9" s="29">
        <f>D9+E9</f>
        <v>9</v>
      </c>
      <c r="G9" s="29">
        <f>COUNTIF(M9:AT9,"S")</f>
        <v>3</v>
      </c>
      <c r="H9" s="29">
        <f>IF(M9="I",180,0)+IF(N9="I",90,0)+IF(O9="I",180,0)+IF(P9="I",180,0)+IF(Q9="I",180,0)+IF(R9="I",90,0)+IF(S9="I",180,0)+IF(T9="I",105,0)+IF(U9="I",180,0)+IF(V9="I",180,0)+IF(W9="I",120,0)+IF(X9="I",120,0)+IF(Y9="I",180,0)+IF(Z9="I",180,0)+IF(AA9="I",120,0)+IF(AB9="I",180,0)+IF(AC9="I",120,0)+IF(AD9="I",150,0)+IF(AE9="I",180,0)+IF(AF9="I",180,0)+IF(AG9="I",120,0)+IF(AH9="I",120,0)+IF(AI9="I",180,0)+IF(AJ9="I",120,0)+IF(AK9="I",180,0)+IF(AL9="I",150,0)+IF(AM9="I",180,0)+IF(AN9="I",60,0)+IF(AO9="I",180,0)+IF(AP9="I",180,0)+IF(AQ9="I",180,0)+IF(AR9="I",195,0)+IF(AS9="I",60,0)+IF(AT9="I",60,0)+IF(M9="AA",225,0)+IF(N9="AA",115,0)+IF(O9="AA",225,0)+IF(P9="AA",225,0)+IF(Q9="AA",225,0)+IF(R9="AA",115,0)+IF(S9="AA",225,0)+IF(T9="AA",135,0)+IF(U9="AA",225,0)+IF(V9="AA",225,0)+IF(W9="AA",150,0)+IF(X9="AA",150,0)+IF(Y9="AA",225,0)+IF(Z9="AA",225,0)+IF(AA9="AA",150,0)+IF(AB9="AA",225,0)+IF(AC9="AA",150,0)+IF(AD9="AA",190,0)+IF(AE9="AA",225,0)+IF(AF9="AA",225,0)+IF(AG9="AA",150,0)+IF(AH9="AA",150,0)+IF(AI9="AA",225,0)+IF(AJ9="AA",150,0)+IF(AK9="AA",225,0)+IF(AL9="AA",190,0)+IF(AM9="AA",225,0)+IF(AN9="AA",75,0)+IF(AO9="AA",225,0)+IF(AP9="AA",225,0)+IF(AQ9="AA",225,0)+IF(AR9="AA",245,0)+IF(AS9="AA",75,0)+IF(AT9="AA",75,0)</f>
        <v>1505</v>
      </c>
      <c r="I9" s="29">
        <f>COUNTIF(M9,"I")+COUNTIF(M9,"AA")+COUNTIF(M9,"S")+COUNTIF(N9,"I")+COUNTIF(N9,"AA")+COUNTIF(N9,"S")+COUNTIF(P9,"I")+COUNTIF(P9,"AA")+COUNTIF(P9,"S")+COUNTIF(R9,"I")+COUNTIF(R9,"AA")+COUNTIF(R9,"S")+COUNTIF(T9,"I")+COUNTIF(T9,"AA")+COUNTIF(T9,"S")+COUNTIF(V9,"I")+COUNTIF(V9,"AA")+COUNTIF(V9,"S")+COUNTIF(Y9,"I")+COUNTIF(Y9,"AA")+COUNTIF(Y9,"S")+COUNTIF(AA9,"I")+COUNTIF(AA9,"AA")+COUNTIF(AA9,"S")+COUNTIF(AC9,"I")+COUNTIF(AC9,"AA")+COUNTIF(AC9,"S")+COUNTIF(AD9,"I")+COUNTIF(AD9,"AA")+COUNTIF(AD9,"S")+COUNTIF(AF9,"I")+COUNTIF(AF9,"AA")+COUNTIF(AF9,"S")+COUNTIF(AH9,"I")+COUNTIF(AH9,"AA")+COUNTIF(AH9,"S")+COUNTIF(AK9,"I")+COUNTIF(AK9,"AA")+COUNTIF(AK9,"S")+COUNTIF(AM9,"I")+COUNTIF(AM9,"AA")+COUNTIF(AM9,"S")+COUNTIF(AP9,"I")+COUNTIF(AP9,"AA")+COUNTIF(AP9,"S")+COUNTIF(AR9,"I")+COUNTIF(AR9,"AA")+COUNTIF(AR9,"S")+COUNTIF(AT9,"I")+COUNTIF(AT9,"AA")+COUNTIF(AT9,"S")</f>
        <v>5</v>
      </c>
      <c r="J9" s="29">
        <f>COUNTIF(O9,"I")+COUNTIF(O9,"AA")+COUNTIF(O9,"S")+COUNTIF(Q9,"I")+COUNTIF(Q9,"AA")+COUNTIF(Q9,"S")+COUNTIF(S9,"I")+COUNTIF(S9,"AA")+COUNTIF(S9,"S")+COUNTIF(U9,"I")+COUNTIF(U9,"AA")+COUNTIF(U9,"S")+COUNTIF(W9,"I")+COUNTIF(W9,"AA")+COUNTIF(W9,"S")+COUNTIF(X9,"I")+COUNTIF(X9,"AA")+COUNTIF(X9,"S")+COUNTIF(Z9,"I")+COUNTIF(Z9,"AA")+COUNTIF(Z9,"S")+COUNTIF(AB9,"I")+COUNTIF(AB9,"AA")+COUNTIF(AB9,"S")+COUNTIF(AE9,"I")+COUNTIF(AE9,"AA")+COUNTIF(AE9,"S")+COUNTIF(AG9,"I")+COUNTIF(AG9,"AA")+COUNTIF(AG9,"S")+COUNTIF(AI9,"I")+COUNTIF(AI9,"AA")+COUNTIF(AI9,"S")+COUNTIF(AJ9,"I")+COUNTIF(AJ9,"AA")+COUNTIF(AJ9,"S")+COUNTIF(AL9,"I")+COUNTIF(AL9,"AA")+COUNTIF(AL9,"S")+COUNTIF(AN9,"I")+COUNTIF(AN9,"AA")+COUNTIF(AN9,"S")+COUNTIF(AO9,"I")+COUNTIF(AO9,"AA")+COUNTIF(AO9,"S")+COUNTIF(AQ9,"I")+COUNTIF(AQ9,"AA")+COUNTIF(AQ9,"S")+COUNTIF(AS9,"I")+COUNTIF(AS9,"AA")+COUNTIF(AS9,"S")</f>
        <v>7</v>
      </c>
      <c r="K9" s="29">
        <f>IF(AND((COUNTIF(N9,"I")+COUNTIF(N9,"AA")+COUNTIF(N9,"S"))&gt;0,(COUNTIF(O9,"I")+COUNTIF(O9,"AA")+COUNTIF(O9,"S"))&gt;0),1,0)+IF(AND((COUNTIF(P9,"I")+COUNTIF(P9,"AA")+COUNTIF(P9,"S"))&gt;0,(COUNTIF(Q9,"I")+COUNTIF(Q9,"AA")+COUNTIF(Q9,"S"))&gt;0),1,0)+IF(AND((COUNTIF(R9,"I")+COUNTIF(R9,"AA")+COUNTIF(R9,"S"))&gt;0,(COUNTIF(S9,"I")+COUNTIF(S9,"AA")+COUNTIF(S9,"S"))&gt;0),1,0)+IF(AND((COUNTIF(T9,"I")+COUNTIF(T9,"AA")+COUNTIF(T9,"S"))&gt;0,(COUNTIF(U9,"I")+COUNTIF(U9,"AA")+COUNTIF(U9,"S"))&gt;0),1,0)+IF(AND((COUNTIF(V9,"I")+COUNTIF(V9,"AA")+COUNTIF(V9,"S"))&gt;0,(COUNTIF(W9,"I")+COUNTIF(W9,"AA")+COUNTIF(W9,"S"))&gt;0),1,0)+IF(AND((COUNTIF(Y9,"I")+COUNTIF(Y9,"AA")+COUNTIF(Y9,"S"))&gt;0,(COUNTIF(Z9,"I")+COUNTIF(Z9,"AA")+COUNTIF(Z9,"S"))&gt;0),1,0)+IF(AND((COUNTIF(AA9,"I")+COUNTIF(AA9,"AA")+COUNTIF(AA9,"S"))&gt;0,(COUNTIF(AB9,"I")+COUNTIF(AB9,"AA")+COUNTIF(AB9,"S"))&gt;0),1,0)+IF(AND((COUNTIF(AD9,"I")+COUNTIF(AD9,"AA")+COUNTIF(AD9,"S"))&gt;0,(COUNTIF(AE9,"I")+COUNTIF(AE9,"AA")+COUNTIF(AE9,"S"))&gt;0),1,0)+IF(AND((COUNTIF(AF9,"I")+COUNTIF(AF9,"AA")+COUNTIF(AF9,"S"))&gt;0,(COUNTIF(AG9,"I")+COUNTIF(AG9,"AA")+COUNTIF(AG9,"S"))&gt;0),1,0)+IF(AND((COUNTIF(AH9,"I")+COUNTIF(AH9,"AA")+COUNTIF(AH9,"S"))&gt;0,(COUNTIF(AI9,"I")+COUNTIF(AI9,"AA")+COUNTIF(AI9,"S"))&gt;0),1,0)+IF(AND((COUNTIF(AK9,"I")+COUNTIF(AK9,"AA")+COUNTIF(AK9,"S"))&gt;0,(COUNTIF(AL9,"I")+COUNTIF(AL9,"AA")+COUNTIF(AL9,"S"))&gt;0),1,0)+IF(AND((COUNTIF(AM9,"I")+COUNTIF(AM9,"AA")+COUNTIF(AM9,"S"))&gt;0,(COUNTIF(AN9,"I")+COUNTIF(AN9,"AA")+COUNTIF(AN9,"S"))&gt;0),1,0)+IF(AND((COUNTIF(AP9,"I")+COUNTIF(AP9,"AA")+COUNTIF(AP9,"S"))&gt;0,(COUNTIF(AQ9,"I")+COUNTIF(AQ9,"AA")+COUNTIF(AQ9,"S"))&gt;0),1,0)+IF(AND((COUNTIF(AR9,"I")+COUNTIF(AR9,"AA")+COUNTIF(AR9,"S"))&gt;0,(COUNTIF(AS9,"I")+COUNTIF(AS9,"AA")+COUNTIF(AS9,"S"))&gt;0),1,0)</f>
        <v>1</v>
      </c>
      <c r="L9" s="22"/>
      <c r="M9" s="24"/>
      <c r="N9" s="24"/>
      <c r="O9" s="34" t="s">
        <v>284</v>
      </c>
      <c r="P9" s="24"/>
      <c r="Q9" s="24"/>
      <c r="R9" s="24" t="s">
        <v>283</v>
      </c>
      <c r="S9" s="34" t="s">
        <v>285</v>
      </c>
      <c r="T9" s="34" t="s">
        <v>24</v>
      </c>
      <c r="U9" s="34" t="s">
        <v>24</v>
      </c>
      <c r="V9" s="34" t="s">
        <v>285</v>
      </c>
      <c r="W9" s="24"/>
      <c r="X9" s="24"/>
      <c r="Y9" s="24"/>
      <c r="Z9" s="24"/>
      <c r="AA9" s="24"/>
      <c r="AB9" s="34" t="s">
        <v>284</v>
      </c>
      <c r="AC9" s="24"/>
      <c r="AD9" s="34" t="s">
        <v>284</v>
      </c>
      <c r="AE9" s="24"/>
      <c r="AF9" s="24"/>
      <c r="AG9" s="24"/>
      <c r="AH9" s="34" t="s">
        <v>24</v>
      </c>
      <c r="AI9" s="24"/>
      <c r="AJ9" s="24"/>
      <c r="AK9" s="24"/>
      <c r="AL9" s="34" t="s">
        <v>285</v>
      </c>
      <c r="AM9" s="24"/>
      <c r="AN9" s="34" t="s">
        <v>285</v>
      </c>
      <c r="AO9" s="34" t="s">
        <v>285</v>
      </c>
      <c r="AP9" s="24"/>
      <c r="AQ9" s="24"/>
      <c r="AR9" s="34" t="s">
        <v>24</v>
      </c>
      <c r="AS9" s="24"/>
      <c r="AT9" s="24"/>
    </row>
    <row r="10" spans="1:46" x14ac:dyDescent="0.3">
      <c r="A10" s="4" t="s">
        <v>227</v>
      </c>
      <c r="B10" s="4" t="s">
        <v>29</v>
      </c>
      <c r="C10" s="4"/>
      <c r="D10" s="29">
        <f>COUNTIF(M10:AT10,"I")</f>
        <v>5</v>
      </c>
      <c r="E10" s="29">
        <f>COUNTIF(M10:AT10,"AA")</f>
        <v>4</v>
      </c>
      <c r="F10" s="29">
        <f>D10+E10</f>
        <v>9</v>
      </c>
      <c r="G10" s="29">
        <f>COUNTIF(M10:AT10,"S")</f>
        <v>3</v>
      </c>
      <c r="H10" s="29">
        <f>IF(M10="I",180,0)+IF(N10="I",90,0)+IF(O10="I",180,0)+IF(P10="I",180,0)+IF(Q10="I",180,0)+IF(R10="I",90,0)+IF(S10="I",180,0)+IF(T10="I",105,0)+IF(U10="I",180,0)+IF(V10="I",180,0)+IF(W10="I",120,0)+IF(X10="I",120,0)+IF(Y10="I",180,0)+IF(Z10="I",180,0)+IF(AA10="I",120,0)+IF(AB10="I",180,0)+IF(AC10="I",120,0)+IF(AD10="I",150,0)+IF(AE10="I",180,0)+IF(AF10="I",180,0)+IF(AG10="I",120,0)+IF(AH10="I",120,0)+IF(AI10="I",180,0)+IF(AJ10="I",120,0)+IF(AK10="I",180,0)+IF(AL10="I",150,0)+IF(AM10="I",180,0)+IF(AN10="I",60,0)+IF(AO10="I",180,0)+IF(AP10="I",180,0)+IF(AQ10="I",180,0)+IF(AR10="I",195,0)+IF(AS10="I",60,0)+IF(AT10="I",60,0)+IF(M10="AA",225,0)+IF(N10="AA",115,0)+IF(O10="AA",225,0)+IF(P10="AA",225,0)+IF(Q10="AA",225,0)+IF(R10="AA",115,0)+IF(S10="AA",225,0)+IF(T10="AA",135,0)+IF(U10="AA",225,0)+IF(V10="AA",225,0)+IF(W10="AA",150,0)+IF(X10="AA",150,0)+IF(Y10="AA",225,0)+IF(Z10="AA",225,0)+IF(AA10="AA",150,0)+IF(AB10="AA",225,0)+IF(AC10="AA",150,0)+IF(AD10="AA",190,0)+IF(AE10="AA",225,0)+IF(AF10="AA",225,0)+IF(AG10="AA",150,0)+IF(AH10="AA",150,0)+IF(AI10="AA",225,0)+IF(AJ10="AA",150,0)+IF(AK10="AA",225,0)+IF(AL10="AA",190,0)+IF(AM10="AA",225,0)+IF(AN10="AA",75,0)+IF(AO10="AA",225,0)+IF(AP10="AA",225,0)+IF(AQ10="AA",225,0)+IF(AR10="AA",245,0)+IF(AS10="AA",75,0)+IF(AT10="AA",75,0)</f>
        <v>1470</v>
      </c>
      <c r="I10" s="29">
        <f>COUNTIF(M10,"I")+COUNTIF(M10,"AA")+COUNTIF(M10,"S")+COUNTIF(N10,"I")+COUNTIF(N10,"AA")+COUNTIF(N10,"S")+COUNTIF(P10,"I")+COUNTIF(P10,"AA")+COUNTIF(P10,"S")+COUNTIF(R10,"I")+COUNTIF(R10,"AA")+COUNTIF(R10,"S")+COUNTIF(T10,"I")+COUNTIF(T10,"AA")+COUNTIF(T10,"S")+COUNTIF(V10,"I")+COUNTIF(V10,"AA")+COUNTIF(V10,"S")+COUNTIF(Y10,"I")+COUNTIF(Y10,"AA")+COUNTIF(Y10,"S")+COUNTIF(AA10,"I")+COUNTIF(AA10,"AA")+COUNTIF(AA10,"S")+COUNTIF(AC10,"I")+COUNTIF(AC10,"AA")+COUNTIF(AC10,"S")+COUNTIF(AD10,"I")+COUNTIF(AD10,"AA")+COUNTIF(AD10,"S")+COUNTIF(AF10,"I")+COUNTIF(AF10,"AA")+COUNTIF(AF10,"S")+COUNTIF(AH10,"I")+COUNTIF(AH10,"AA")+COUNTIF(AH10,"S")+COUNTIF(AK10,"I")+COUNTIF(AK10,"AA")+COUNTIF(AK10,"S")+COUNTIF(AM10,"I")+COUNTIF(AM10,"AA")+COUNTIF(AM10,"S")+COUNTIF(AP10,"I")+COUNTIF(AP10,"AA")+COUNTIF(AP10,"S")+COUNTIF(AR10,"I")+COUNTIF(AR10,"AA")+COUNTIF(AR10,"S")+COUNTIF(AT10,"I")+COUNTIF(AT10,"AA")+COUNTIF(AT10,"S")</f>
        <v>8</v>
      </c>
      <c r="J10" s="29">
        <f>COUNTIF(O10,"I")+COUNTIF(O10,"AA")+COUNTIF(O10,"S")+COUNTIF(Q10,"I")+COUNTIF(Q10,"AA")+COUNTIF(Q10,"S")+COUNTIF(S10,"I")+COUNTIF(S10,"AA")+COUNTIF(S10,"S")+COUNTIF(U10,"I")+COUNTIF(U10,"AA")+COUNTIF(U10,"S")+COUNTIF(W10,"I")+COUNTIF(W10,"AA")+COUNTIF(W10,"S")+COUNTIF(X10,"I")+COUNTIF(X10,"AA")+COUNTIF(X10,"S")+COUNTIF(Z10,"I")+COUNTIF(Z10,"AA")+COUNTIF(Z10,"S")+COUNTIF(AB10,"I")+COUNTIF(AB10,"AA")+COUNTIF(AB10,"S")+COUNTIF(AE10,"I")+COUNTIF(AE10,"AA")+COUNTIF(AE10,"S")+COUNTIF(AG10,"I")+COUNTIF(AG10,"AA")+COUNTIF(AG10,"S")+COUNTIF(AI10,"I")+COUNTIF(AI10,"AA")+COUNTIF(AI10,"S")+COUNTIF(AJ10,"I")+COUNTIF(AJ10,"AA")+COUNTIF(AJ10,"S")+COUNTIF(AL10,"I")+COUNTIF(AL10,"AA")+COUNTIF(AL10,"S")+COUNTIF(AN10,"I")+COUNTIF(AN10,"AA")+COUNTIF(AN10,"S")+COUNTIF(AO10,"I")+COUNTIF(AO10,"AA")+COUNTIF(AO10,"S")+COUNTIF(AQ10,"I")+COUNTIF(AQ10,"AA")+COUNTIF(AQ10,"S")+COUNTIF(AS10,"I")+COUNTIF(AS10,"AA")+COUNTIF(AS10,"S")</f>
        <v>4</v>
      </c>
      <c r="K10" s="29">
        <f>IF(AND((COUNTIF(N10,"I")+COUNTIF(N10,"AA")+COUNTIF(N10,"S"))&gt;0,(COUNTIF(O10,"I")+COUNTIF(O10,"AA")+COUNTIF(O10,"S"))&gt;0),1,0)+IF(AND((COUNTIF(P10,"I")+COUNTIF(P10,"AA")+COUNTIF(P10,"S"))&gt;0,(COUNTIF(Q10,"I")+COUNTIF(Q10,"AA")+COUNTIF(Q10,"S"))&gt;0),1,0)+IF(AND((COUNTIF(R10,"I")+COUNTIF(R10,"AA")+COUNTIF(R10,"S"))&gt;0,(COUNTIF(S10,"I")+COUNTIF(S10,"AA")+COUNTIF(S10,"S"))&gt;0),1,0)+IF(AND((COUNTIF(T10,"I")+COUNTIF(T10,"AA")+COUNTIF(T10,"S"))&gt;0,(COUNTIF(U10,"I")+COUNTIF(U10,"AA")+COUNTIF(U10,"S"))&gt;0),1,0)+IF(AND((COUNTIF(V10,"I")+COUNTIF(V10,"AA")+COUNTIF(V10,"S"))&gt;0,(COUNTIF(W10,"I")+COUNTIF(W10,"AA")+COUNTIF(W10,"S"))&gt;0),1,0)+IF(AND((COUNTIF(Y10,"I")+COUNTIF(Y10,"AA")+COUNTIF(Y10,"S"))&gt;0,(COUNTIF(Z10,"I")+COUNTIF(Z10,"AA")+COUNTIF(Z10,"S"))&gt;0),1,0)+IF(AND((COUNTIF(AA10,"I")+COUNTIF(AA10,"AA")+COUNTIF(AA10,"S"))&gt;0,(COUNTIF(AB10,"I")+COUNTIF(AB10,"AA")+COUNTIF(AB10,"S"))&gt;0),1,0)+IF(AND((COUNTIF(AD10,"I")+COUNTIF(AD10,"AA")+COUNTIF(AD10,"S"))&gt;0,(COUNTIF(AE10,"I")+COUNTIF(AE10,"AA")+COUNTIF(AE10,"S"))&gt;0),1,0)+IF(AND((COUNTIF(AF10,"I")+COUNTIF(AF10,"AA")+COUNTIF(AF10,"S"))&gt;0,(COUNTIF(AG10,"I")+COUNTIF(AG10,"AA")+COUNTIF(AG10,"S"))&gt;0),1,0)+IF(AND((COUNTIF(AH10,"I")+COUNTIF(AH10,"AA")+COUNTIF(AH10,"S"))&gt;0,(COUNTIF(AI10,"I")+COUNTIF(AI10,"AA")+COUNTIF(AI10,"S"))&gt;0),1,0)+IF(AND((COUNTIF(AK10,"I")+COUNTIF(AK10,"AA")+COUNTIF(AK10,"S"))&gt;0,(COUNTIF(AL10,"I")+COUNTIF(AL10,"AA")+COUNTIF(AL10,"S"))&gt;0),1,0)+IF(AND((COUNTIF(AM10,"I")+COUNTIF(AM10,"AA")+COUNTIF(AM10,"S"))&gt;0,(COUNTIF(AN10,"I")+COUNTIF(AN10,"AA")+COUNTIF(AN10,"S"))&gt;0),1,0)+IF(AND((COUNTIF(AP10,"I")+COUNTIF(AP10,"AA")+COUNTIF(AP10,"S"))&gt;0,(COUNTIF(AQ10,"I")+COUNTIF(AQ10,"AA")+COUNTIF(AQ10,"S"))&gt;0),1,0)+IF(AND((COUNTIF(AR10,"I")+COUNTIF(AR10,"AA")+COUNTIF(AR10,"S"))&gt;0,(COUNTIF(AS10,"I")+COUNTIF(AS10,"AA")+COUNTIF(AS10,"S"))&gt;0),1,0)</f>
        <v>2</v>
      </c>
      <c r="L10" s="22"/>
      <c r="M10" s="24"/>
      <c r="N10" s="34" t="s">
        <v>24</v>
      </c>
      <c r="O10" s="24"/>
      <c r="P10" s="34" t="s">
        <v>284</v>
      </c>
      <c r="Q10" s="24"/>
      <c r="R10" s="24"/>
      <c r="S10" s="34" t="s">
        <v>284</v>
      </c>
      <c r="T10" s="34" t="s">
        <v>24</v>
      </c>
      <c r="U10" s="34" t="s">
        <v>285</v>
      </c>
      <c r="V10" s="24"/>
      <c r="W10" s="24"/>
      <c r="X10" s="24"/>
      <c r="Y10" s="24" t="s">
        <v>283</v>
      </c>
      <c r="Z10" s="24"/>
      <c r="AA10" s="24"/>
      <c r="AB10" s="34" t="s">
        <v>24</v>
      </c>
      <c r="AC10" s="24"/>
      <c r="AD10" s="34" t="s">
        <v>285</v>
      </c>
      <c r="AE10" s="24"/>
      <c r="AF10" s="34" t="s">
        <v>284</v>
      </c>
      <c r="AG10" s="24"/>
      <c r="AH10" s="24"/>
      <c r="AI10" s="24" t="s">
        <v>283</v>
      </c>
      <c r="AJ10" s="24"/>
      <c r="AK10" s="34" t="s">
        <v>285</v>
      </c>
      <c r="AL10" s="24"/>
      <c r="AM10" s="34" t="s">
        <v>285</v>
      </c>
      <c r="AN10" s="24"/>
      <c r="AO10" s="24"/>
      <c r="AP10" s="24"/>
      <c r="AQ10" s="24"/>
      <c r="AR10" s="34" t="s">
        <v>24</v>
      </c>
      <c r="AS10" s="34" t="s">
        <v>285</v>
      </c>
      <c r="AT10" s="24"/>
    </row>
    <row r="11" spans="1:46" x14ac:dyDescent="0.3">
      <c r="A11" s="4" t="s">
        <v>228</v>
      </c>
      <c r="B11" s="4" t="s">
        <v>29</v>
      </c>
      <c r="C11" s="4"/>
      <c r="D11" s="29">
        <f>COUNTIF(M11:AT11,"I")</f>
        <v>5</v>
      </c>
      <c r="E11" s="29">
        <f>COUNTIF(M11:AT11,"AA")</f>
        <v>4</v>
      </c>
      <c r="F11" s="29">
        <f>D11+E11</f>
        <v>9</v>
      </c>
      <c r="G11" s="29">
        <f>COUNTIF(M11:AT11,"S")</f>
        <v>2</v>
      </c>
      <c r="H11" s="29">
        <f>IF(M11="I",180,0)+IF(N11="I",90,0)+IF(O11="I",180,0)+IF(P11="I",180,0)+IF(Q11="I",180,0)+IF(R11="I",90,0)+IF(S11="I",180,0)+IF(T11="I",105,0)+IF(U11="I",180,0)+IF(V11="I",180,0)+IF(W11="I",120,0)+IF(X11="I",120,0)+IF(Y11="I",180,0)+IF(Z11="I",180,0)+IF(AA11="I",120,0)+IF(AB11="I",180,0)+IF(AC11="I",120,0)+IF(AD11="I",150,0)+IF(AE11="I",180,0)+IF(AF11="I",180,0)+IF(AG11="I",120,0)+IF(AH11="I",120,0)+IF(AI11="I",180,0)+IF(AJ11="I",120,0)+IF(AK11="I",180,0)+IF(AL11="I",150,0)+IF(AM11="I",180,0)+IF(AN11="I",60,0)+IF(AO11="I",180,0)+IF(AP11="I",180,0)+IF(AQ11="I",180,0)+IF(AR11="I",195,0)+IF(AS11="I",60,0)+IF(AT11="I",60,0)+IF(M11="AA",225,0)+IF(N11="AA",115,0)+IF(O11="AA",225,0)+IF(P11="AA",225,0)+IF(Q11="AA",225,0)+IF(R11="AA",115,0)+IF(S11="AA",225,0)+IF(T11="AA",135,0)+IF(U11="AA",225,0)+IF(V11="AA",225,0)+IF(W11="AA",150,0)+IF(X11="AA",150,0)+IF(Y11="AA",225,0)+IF(Z11="AA",225,0)+IF(AA11="AA",150,0)+IF(AB11="AA",225,0)+IF(AC11="AA",150,0)+IF(AD11="AA",190,0)+IF(AE11="AA",225,0)+IF(AF11="AA",225,0)+IF(AG11="AA",150,0)+IF(AH11="AA",150,0)+IF(AI11="AA",225,0)+IF(AJ11="AA",150,0)+IF(AK11="AA",225,0)+IF(AL11="AA",190,0)+IF(AM11="AA",225,0)+IF(AN11="AA",75,0)+IF(AO11="AA",225,0)+IF(AP11="AA",225,0)+IF(AQ11="AA",225,0)+IF(AR11="AA",245,0)+IF(AS11="AA",75,0)+IF(AT11="AA",75,0)</f>
        <v>1530</v>
      </c>
      <c r="I11" s="29">
        <f>COUNTIF(M11,"I")+COUNTIF(M11,"AA")+COUNTIF(M11,"S")+COUNTIF(N11,"I")+COUNTIF(N11,"AA")+COUNTIF(N11,"S")+COUNTIF(P11,"I")+COUNTIF(P11,"AA")+COUNTIF(P11,"S")+COUNTIF(R11,"I")+COUNTIF(R11,"AA")+COUNTIF(R11,"S")+COUNTIF(T11,"I")+COUNTIF(T11,"AA")+COUNTIF(T11,"S")+COUNTIF(V11,"I")+COUNTIF(V11,"AA")+COUNTIF(V11,"S")+COUNTIF(Y11,"I")+COUNTIF(Y11,"AA")+COUNTIF(Y11,"S")+COUNTIF(AA11,"I")+COUNTIF(AA11,"AA")+COUNTIF(AA11,"S")+COUNTIF(AC11,"I")+COUNTIF(AC11,"AA")+COUNTIF(AC11,"S")+COUNTIF(AD11,"I")+COUNTIF(AD11,"AA")+COUNTIF(AD11,"S")+COUNTIF(AF11,"I")+COUNTIF(AF11,"AA")+COUNTIF(AF11,"S")+COUNTIF(AH11,"I")+COUNTIF(AH11,"AA")+COUNTIF(AH11,"S")+COUNTIF(AK11,"I")+COUNTIF(AK11,"AA")+COUNTIF(AK11,"S")+COUNTIF(AM11,"I")+COUNTIF(AM11,"AA")+COUNTIF(AM11,"S")+COUNTIF(AP11,"I")+COUNTIF(AP11,"AA")+COUNTIF(AP11,"S")+COUNTIF(AR11,"I")+COUNTIF(AR11,"AA")+COUNTIF(AR11,"S")+COUNTIF(AT11,"I")+COUNTIF(AT11,"AA")+COUNTIF(AT11,"S")</f>
        <v>6</v>
      </c>
      <c r="J11" s="29">
        <f>COUNTIF(O11,"I")+COUNTIF(O11,"AA")+COUNTIF(O11,"S")+COUNTIF(Q11,"I")+COUNTIF(Q11,"AA")+COUNTIF(Q11,"S")+COUNTIF(S11,"I")+COUNTIF(S11,"AA")+COUNTIF(S11,"S")+COUNTIF(U11,"I")+COUNTIF(U11,"AA")+COUNTIF(U11,"S")+COUNTIF(W11,"I")+COUNTIF(W11,"AA")+COUNTIF(W11,"S")+COUNTIF(X11,"I")+COUNTIF(X11,"AA")+COUNTIF(X11,"S")+COUNTIF(Z11,"I")+COUNTIF(Z11,"AA")+COUNTIF(Z11,"S")+COUNTIF(AB11,"I")+COUNTIF(AB11,"AA")+COUNTIF(AB11,"S")+COUNTIF(AE11,"I")+COUNTIF(AE11,"AA")+COUNTIF(AE11,"S")+COUNTIF(AG11,"I")+COUNTIF(AG11,"AA")+COUNTIF(AG11,"S")+COUNTIF(AI11,"I")+COUNTIF(AI11,"AA")+COUNTIF(AI11,"S")+COUNTIF(AJ11,"I")+COUNTIF(AJ11,"AA")+COUNTIF(AJ11,"S")+COUNTIF(AL11,"I")+COUNTIF(AL11,"AA")+COUNTIF(AL11,"S")+COUNTIF(AN11,"I")+COUNTIF(AN11,"AA")+COUNTIF(AN11,"S")+COUNTIF(AO11,"I")+COUNTIF(AO11,"AA")+COUNTIF(AO11,"S")+COUNTIF(AQ11,"I")+COUNTIF(AQ11,"AA")+COUNTIF(AQ11,"S")+COUNTIF(AS11,"I")+COUNTIF(AS11,"AA")+COUNTIF(AS11,"S")</f>
        <v>5</v>
      </c>
      <c r="K11" s="29">
        <f>IF(AND((COUNTIF(N11,"I")+COUNTIF(N11,"AA")+COUNTIF(N11,"S"))&gt;0,(COUNTIF(O11,"I")+COUNTIF(O11,"AA")+COUNTIF(O11,"S"))&gt;0),1,0)+IF(AND((COUNTIF(P11,"I")+COUNTIF(P11,"AA")+COUNTIF(P11,"S"))&gt;0,(COUNTIF(Q11,"I")+COUNTIF(Q11,"AA")+COUNTIF(Q11,"S"))&gt;0),1,0)+IF(AND((COUNTIF(R11,"I")+COUNTIF(R11,"AA")+COUNTIF(R11,"S"))&gt;0,(COUNTIF(S11,"I")+COUNTIF(S11,"AA")+COUNTIF(S11,"S"))&gt;0),1,0)+IF(AND((COUNTIF(T11,"I")+COUNTIF(T11,"AA")+COUNTIF(T11,"S"))&gt;0,(COUNTIF(U11,"I")+COUNTIF(U11,"AA")+COUNTIF(U11,"S"))&gt;0),1,0)+IF(AND((COUNTIF(V11,"I")+COUNTIF(V11,"AA")+COUNTIF(V11,"S"))&gt;0,(COUNTIF(W11,"I")+COUNTIF(W11,"AA")+COUNTIF(W11,"S"))&gt;0),1,0)+IF(AND((COUNTIF(Y11,"I")+COUNTIF(Y11,"AA")+COUNTIF(Y11,"S"))&gt;0,(COUNTIF(Z11,"I")+COUNTIF(Z11,"AA")+COUNTIF(Z11,"S"))&gt;0),1,0)+IF(AND((COUNTIF(AA11,"I")+COUNTIF(AA11,"AA")+COUNTIF(AA11,"S"))&gt;0,(COUNTIF(AB11,"I")+COUNTIF(AB11,"AA")+COUNTIF(AB11,"S"))&gt;0),1,0)+IF(AND((COUNTIF(AD11,"I")+COUNTIF(AD11,"AA")+COUNTIF(AD11,"S"))&gt;0,(COUNTIF(AE11,"I")+COUNTIF(AE11,"AA")+COUNTIF(AE11,"S"))&gt;0),1,0)+IF(AND((COUNTIF(AF11,"I")+COUNTIF(AF11,"AA")+COUNTIF(AF11,"S"))&gt;0,(COUNTIF(AG11,"I")+COUNTIF(AG11,"AA")+COUNTIF(AG11,"S"))&gt;0),1,0)+IF(AND((COUNTIF(AH11,"I")+COUNTIF(AH11,"AA")+COUNTIF(AH11,"S"))&gt;0,(COUNTIF(AI11,"I")+COUNTIF(AI11,"AA")+COUNTIF(AI11,"S"))&gt;0),1,0)+IF(AND((COUNTIF(AK11,"I")+COUNTIF(AK11,"AA")+COUNTIF(AK11,"S"))&gt;0,(COUNTIF(AL11,"I")+COUNTIF(AL11,"AA")+COUNTIF(AL11,"S"))&gt;0),1,0)+IF(AND((COUNTIF(AM11,"I")+COUNTIF(AM11,"AA")+COUNTIF(AM11,"S"))&gt;0,(COUNTIF(AN11,"I")+COUNTIF(AN11,"AA")+COUNTIF(AN11,"S"))&gt;0),1,0)+IF(AND((COUNTIF(AP11,"I")+COUNTIF(AP11,"AA")+COUNTIF(AP11,"S"))&gt;0,(COUNTIF(AQ11,"I")+COUNTIF(AQ11,"AA")+COUNTIF(AQ11,"S"))&gt;0),1,0)+IF(AND((COUNTIF(AR11,"I")+COUNTIF(AR11,"AA")+COUNTIF(AR11,"S"))&gt;0,(COUNTIF(AS11,"I")+COUNTIF(AS11,"AA")+COUNTIF(AS11,"S"))&gt;0),1,0)</f>
        <v>1</v>
      </c>
      <c r="L11" s="22"/>
      <c r="M11" s="24"/>
      <c r="N11" s="24"/>
      <c r="O11" s="34" t="s">
        <v>284</v>
      </c>
      <c r="P11" s="34" t="s">
        <v>24</v>
      </c>
      <c r="Q11" s="24"/>
      <c r="R11" s="24"/>
      <c r="S11" s="24"/>
      <c r="T11" s="34" t="s">
        <v>24</v>
      </c>
      <c r="U11" s="24"/>
      <c r="V11" s="24"/>
      <c r="W11" s="24"/>
      <c r="X11" s="24"/>
      <c r="Y11" s="24"/>
      <c r="Z11" s="24"/>
      <c r="AA11" s="24"/>
      <c r="AB11" s="34" t="s">
        <v>285</v>
      </c>
      <c r="AC11" s="24"/>
      <c r="AD11" s="24"/>
      <c r="AE11" s="24"/>
      <c r="AF11" s="24"/>
      <c r="AG11" s="34" t="s">
        <v>285</v>
      </c>
      <c r="AH11" s="24"/>
      <c r="AI11" s="34" t="s">
        <v>24</v>
      </c>
      <c r="AJ11" s="24"/>
      <c r="AK11" s="34" t="s">
        <v>285</v>
      </c>
      <c r="AL11" s="24"/>
      <c r="AM11" s="34" t="s">
        <v>285</v>
      </c>
      <c r="AN11" s="34" t="s">
        <v>285</v>
      </c>
      <c r="AO11" s="24"/>
      <c r="AP11" s="34" t="s">
        <v>24</v>
      </c>
      <c r="AQ11" s="24"/>
      <c r="AR11" s="34" t="s">
        <v>284</v>
      </c>
      <c r="AS11" s="24"/>
      <c r="AT11" s="24" t="s">
        <v>283</v>
      </c>
    </row>
    <row r="12" spans="1:46" x14ac:dyDescent="0.3">
      <c r="A12" s="4" t="s">
        <v>229</v>
      </c>
      <c r="B12" s="4" t="s">
        <v>29</v>
      </c>
      <c r="C12" s="4"/>
      <c r="D12" s="29">
        <f>COUNTIF(M12:AT12,"I")</f>
        <v>4</v>
      </c>
      <c r="E12" s="29">
        <f>COUNTIF(M12:AT12,"AA")</f>
        <v>4</v>
      </c>
      <c r="F12" s="29">
        <f>D12+E12</f>
        <v>8</v>
      </c>
      <c r="G12" s="29">
        <f>COUNTIF(M12:AT12,"S")</f>
        <v>3</v>
      </c>
      <c r="H12" s="29">
        <f>IF(M12="I",180,0)+IF(N12="I",90,0)+IF(O12="I",180,0)+IF(P12="I",180,0)+IF(Q12="I",180,0)+IF(R12="I",90,0)+IF(S12="I",180,0)+IF(T12="I",105,0)+IF(U12="I",180,0)+IF(V12="I",180,0)+IF(W12="I",120,0)+IF(X12="I",120,0)+IF(Y12="I",180,0)+IF(Z12="I",180,0)+IF(AA12="I",120,0)+IF(AB12="I",180,0)+IF(AC12="I",120,0)+IF(AD12="I",150,0)+IF(AE12="I",180,0)+IF(AF12="I",180,0)+IF(AG12="I",120,0)+IF(AH12="I",120,0)+IF(AI12="I",180,0)+IF(AJ12="I",120,0)+IF(AK12="I",180,0)+IF(AL12="I",150,0)+IF(AM12="I",180,0)+IF(AN12="I",60,0)+IF(AO12="I",180,0)+IF(AP12="I",180,0)+IF(AQ12="I",180,0)+IF(AR12="I",195,0)+IF(AS12="I",60,0)+IF(AT12="I",60,0)+IF(M12="AA",225,0)+IF(N12="AA",115,0)+IF(O12="AA",225,0)+IF(P12="AA",225,0)+IF(Q12="AA",225,0)+IF(R12="AA",115,0)+IF(S12="AA",225,0)+IF(T12="AA",135,0)+IF(U12="AA",225,0)+IF(V12="AA",225,0)+IF(W12="AA",150,0)+IF(X12="AA",150,0)+IF(Y12="AA",225,0)+IF(Z12="AA",225,0)+IF(AA12="AA",150,0)+IF(AB12="AA",225,0)+IF(AC12="AA",150,0)+IF(AD12="AA",190,0)+IF(AE12="AA",225,0)+IF(AF12="AA",225,0)+IF(AG12="AA",150,0)+IF(AH12="AA",150,0)+IF(AI12="AA",225,0)+IF(AJ12="AA",150,0)+IF(AK12="AA",225,0)+IF(AL12="AA",190,0)+IF(AM12="AA",225,0)+IF(AN12="AA",75,0)+IF(AO12="AA",225,0)+IF(AP12="AA",225,0)+IF(AQ12="AA",225,0)+IF(AR12="AA",245,0)+IF(AS12="AA",75,0)+IF(AT12="AA",75,0)</f>
        <v>1410</v>
      </c>
      <c r="I12" s="29">
        <f>COUNTIF(M12,"I")+COUNTIF(M12,"AA")+COUNTIF(M12,"S")+COUNTIF(N12,"I")+COUNTIF(N12,"AA")+COUNTIF(N12,"S")+COUNTIF(P12,"I")+COUNTIF(P12,"AA")+COUNTIF(P12,"S")+COUNTIF(R12,"I")+COUNTIF(R12,"AA")+COUNTIF(R12,"S")+COUNTIF(T12,"I")+COUNTIF(T12,"AA")+COUNTIF(T12,"S")+COUNTIF(V12,"I")+COUNTIF(V12,"AA")+COUNTIF(V12,"S")+COUNTIF(Y12,"I")+COUNTIF(Y12,"AA")+COUNTIF(Y12,"S")+COUNTIF(AA12,"I")+COUNTIF(AA12,"AA")+COUNTIF(AA12,"S")+COUNTIF(AC12,"I")+COUNTIF(AC12,"AA")+COUNTIF(AC12,"S")+COUNTIF(AD12,"I")+COUNTIF(AD12,"AA")+COUNTIF(AD12,"S")+COUNTIF(AF12,"I")+COUNTIF(AF12,"AA")+COUNTIF(AF12,"S")+COUNTIF(AH12,"I")+COUNTIF(AH12,"AA")+COUNTIF(AH12,"S")+COUNTIF(AK12,"I")+COUNTIF(AK12,"AA")+COUNTIF(AK12,"S")+COUNTIF(AM12,"I")+COUNTIF(AM12,"AA")+COUNTIF(AM12,"S")+COUNTIF(AP12,"I")+COUNTIF(AP12,"AA")+COUNTIF(AP12,"S")+COUNTIF(AR12,"I")+COUNTIF(AR12,"AA")+COUNTIF(AR12,"S")+COUNTIF(AT12,"I")+COUNTIF(AT12,"AA")+COUNTIF(AT12,"S")</f>
        <v>6</v>
      </c>
      <c r="J12" s="29">
        <f>COUNTIF(O12,"I")+COUNTIF(O12,"AA")+COUNTIF(O12,"S")+COUNTIF(Q12,"I")+COUNTIF(Q12,"AA")+COUNTIF(Q12,"S")+COUNTIF(S12,"I")+COUNTIF(S12,"AA")+COUNTIF(S12,"S")+COUNTIF(U12,"I")+COUNTIF(U12,"AA")+COUNTIF(U12,"S")+COUNTIF(W12,"I")+COUNTIF(W12,"AA")+COUNTIF(W12,"S")+COUNTIF(X12,"I")+COUNTIF(X12,"AA")+COUNTIF(X12,"S")+COUNTIF(Z12,"I")+COUNTIF(Z12,"AA")+COUNTIF(Z12,"S")+COUNTIF(AB12,"I")+COUNTIF(AB12,"AA")+COUNTIF(AB12,"S")+COUNTIF(AE12,"I")+COUNTIF(AE12,"AA")+COUNTIF(AE12,"S")+COUNTIF(AG12,"I")+COUNTIF(AG12,"AA")+COUNTIF(AG12,"S")+COUNTIF(AI12,"I")+COUNTIF(AI12,"AA")+COUNTIF(AI12,"S")+COUNTIF(AJ12,"I")+COUNTIF(AJ12,"AA")+COUNTIF(AJ12,"S")+COUNTIF(AL12,"I")+COUNTIF(AL12,"AA")+COUNTIF(AL12,"S")+COUNTIF(AN12,"I")+COUNTIF(AN12,"AA")+COUNTIF(AN12,"S")+COUNTIF(AO12,"I")+COUNTIF(AO12,"AA")+COUNTIF(AO12,"S")+COUNTIF(AQ12,"I")+COUNTIF(AQ12,"AA")+COUNTIF(AQ12,"S")+COUNTIF(AS12,"I")+COUNTIF(AS12,"AA")+COUNTIF(AS12,"S")</f>
        <v>5</v>
      </c>
      <c r="K12" s="29">
        <f>IF(AND((COUNTIF(N12,"I")+COUNTIF(N12,"AA")+COUNTIF(N12,"S"))&gt;0,(COUNTIF(O12,"I")+COUNTIF(O12,"AA")+COUNTIF(O12,"S"))&gt;0),1,0)+IF(AND((COUNTIF(P12,"I")+COUNTIF(P12,"AA")+COUNTIF(P12,"S"))&gt;0,(COUNTIF(Q12,"I")+COUNTIF(Q12,"AA")+COUNTIF(Q12,"S"))&gt;0),1,0)+IF(AND((COUNTIF(R12,"I")+COUNTIF(R12,"AA")+COUNTIF(R12,"S"))&gt;0,(COUNTIF(S12,"I")+COUNTIF(S12,"AA")+COUNTIF(S12,"S"))&gt;0),1,0)+IF(AND((COUNTIF(T12,"I")+COUNTIF(T12,"AA")+COUNTIF(T12,"S"))&gt;0,(COUNTIF(U12,"I")+COUNTIF(U12,"AA")+COUNTIF(U12,"S"))&gt;0),1,0)+IF(AND((COUNTIF(V12,"I")+COUNTIF(V12,"AA")+COUNTIF(V12,"S"))&gt;0,(COUNTIF(W12,"I")+COUNTIF(W12,"AA")+COUNTIF(W12,"S"))&gt;0),1,0)+IF(AND((COUNTIF(Y12,"I")+COUNTIF(Y12,"AA")+COUNTIF(Y12,"S"))&gt;0,(COUNTIF(Z12,"I")+COUNTIF(Z12,"AA")+COUNTIF(Z12,"S"))&gt;0),1,0)+IF(AND((COUNTIF(AA12,"I")+COUNTIF(AA12,"AA")+COUNTIF(AA12,"S"))&gt;0,(COUNTIF(AB12,"I")+COUNTIF(AB12,"AA")+COUNTIF(AB12,"S"))&gt;0),1,0)+IF(AND((COUNTIF(AD12,"I")+COUNTIF(AD12,"AA")+COUNTIF(AD12,"S"))&gt;0,(COUNTIF(AE12,"I")+COUNTIF(AE12,"AA")+COUNTIF(AE12,"S"))&gt;0),1,0)+IF(AND((COUNTIF(AF12,"I")+COUNTIF(AF12,"AA")+COUNTIF(AF12,"S"))&gt;0,(COUNTIF(AG12,"I")+COUNTIF(AG12,"AA")+COUNTIF(AG12,"S"))&gt;0),1,0)+IF(AND((COUNTIF(AH12,"I")+COUNTIF(AH12,"AA")+COUNTIF(AH12,"S"))&gt;0,(COUNTIF(AI12,"I")+COUNTIF(AI12,"AA")+COUNTIF(AI12,"S"))&gt;0),1,0)+IF(AND((COUNTIF(AK12,"I")+COUNTIF(AK12,"AA")+COUNTIF(AK12,"S"))&gt;0,(COUNTIF(AL12,"I")+COUNTIF(AL12,"AA")+COUNTIF(AL12,"S"))&gt;0),1,0)+IF(AND((COUNTIF(AM12,"I")+COUNTIF(AM12,"AA")+COUNTIF(AM12,"S"))&gt;0,(COUNTIF(AN12,"I")+COUNTIF(AN12,"AA")+COUNTIF(AN12,"S"))&gt;0),1,0)+IF(AND((COUNTIF(AP12,"I")+COUNTIF(AP12,"AA")+COUNTIF(AP12,"S"))&gt;0,(COUNTIF(AQ12,"I")+COUNTIF(AQ12,"AA")+COUNTIF(AQ12,"S"))&gt;0),1,0)+IF(AND((COUNTIF(AR12,"I")+COUNTIF(AR12,"AA")+COUNTIF(AR12,"S"))&gt;0,(COUNTIF(AS12,"I")+COUNTIF(AS12,"AA")+COUNTIF(AS12,"S"))&gt;0),1,0)</f>
        <v>0</v>
      </c>
      <c r="L12" s="22"/>
      <c r="M12" s="24"/>
      <c r="N12" s="24"/>
      <c r="O12" s="34" t="s">
        <v>284</v>
      </c>
      <c r="P12" s="34" t="s">
        <v>24</v>
      </c>
      <c r="Q12" s="24"/>
      <c r="R12" s="24"/>
      <c r="S12" s="24"/>
      <c r="T12" s="34" t="s">
        <v>24</v>
      </c>
      <c r="U12" s="24"/>
      <c r="V12" s="24"/>
      <c r="W12" s="24"/>
      <c r="X12" s="24"/>
      <c r="Y12" s="24"/>
      <c r="Z12" s="24"/>
      <c r="AA12" s="24"/>
      <c r="AB12" s="34" t="s">
        <v>285</v>
      </c>
      <c r="AC12" s="24"/>
      <c r="AD12" s="24"/>
      <c r="AE12" s="24"/>
      <c r="AF12" s="34" t="s">
        <v>285</v>
      </c>
      <c r="AG12" s="24"/>
      <c r="AH12" s="24"/>
      <c r="AI12" s="34" t="s">
        <v>24</v>
      </c>
      <c r="AJ12" s="34" t="s">
        <v>284</v>
      </c>
      <c r="AK12" s="24" t="s">
        <v>283</v>
      </c>
      <c r="AL12" s="24"/>
      <c r="AM12" s="34" t="s">
        <v>285</v>
      </c>
      <c r="AN12" s="24" t="s">
        <v>283</v>
      </c>
      <c r="AO12" s="24"/>
      <c r="AP12" s="34" t="s">
        <v>24</v>
      </c>
      <c r="AQ12" s="24"/>
      <c r="AR12" s="24"/>
      <c r="AS12" s="34" t="s">
        <v>285</v>
      </c>
      <c r="AT12" s="34" t="s">
        <v>284</v>
      </c>
    </row>
    <row r="13" spans="1:46" x14ac:dyDescent="0.3">
      <c r="A13" s="4" t="s">
        <v>230</v>
      </c>
      <c r="B13" s="4" t="s">
        <v>29</v>
      </c>
      <c r="C13" s="4"/>
      <c r="D13" s="29">
        <f>COUNTIF(M13:AT13,"I")</f>
        <v>5</v>
      </c>
      <c r="E13" s="29">
        <f>COUNTIF(M13:AT13,"AA")</f>
        <v>4</v>
      </c>
      <c r="F13" s="29">
        <f>D13+E13</f>
        <v>9</v>
      </c>
      <c r="G13" s="29">
        <f>COUNTIF(M13:AT13,"S")</f>
        <v>3</v>
      </c>
      <c r="H13" s="29">
        <f>IF(M13="I",180,0)+IF(N13="I",90,0)+IF(O13="I",180,0)+IF(P13="I",180,0)+IF(Q13="I",180,0)+IF(R13="I",90,0)+IF(S13="I",180,0)+IF(T13="I",105,0)+IF(U13="I",180,0)+IF(V13="I",180,0)+IF(W13="I",120,0)+IF(X13="I",120,0)+IF(Y13="I",180,0)+IF(Z13="I",180,0)+IF(AA13="I",120,0)+IF(AB13="I",180,0)+IF(AC13="I",120,0)+IF(AD13="I",150,0)+IF(AE13="I",180,0)+IF(AF13="I",180,0)+IF(AG13="I",120,0)+IF(AH13="I",120,0)+IF(AI13="I",180,0)+IF(AJ13="I",120,0)+IF(AK13="I",180,0)+IF(AL13="I",150,0)+IF(AM13="I",180,0)+IF(AN13="I",60,0)+IF(AO13="I",180,0)+IF(AP13="I",180,0)+IF(AQ13="I",180,0)+IF(AR13="I",195,0)+IF(AS13="I",60,0)+IF(AT13="I",60,0)+IF(M13="AA",225,0)+IF(N13="AA",115,0)+IF(O13="AA",225,0)+IF(P13="AA",225,0)+IF(Q13="AA",225,0)+IF(R13="AA",115,0)+IF(S13="AA",225,0)+IF(T13="AA",135,0)+IF(U13="AA",225,0)+IF(V13="AA",225,0)+IF(W13="AA",150,0)+IF(X13="AA",150,0)+IF(Y13="AA",225,0)+IF(Z13="AA",225,0)+IF(AA13="AA",150,0)+IF(AB13="AA",225,0)+IF(AC13="AA",150,0)+IF(AD13="AA",190,0)+IF(AE13="AA",225,0)+IF(AF13="AA",225,0)+IF(AG13="AA",150,0)+IF(AH13="AA",150,0)+IF(AI13="AA",225,0)+IF(AJ13="AA",150,0)+IF(AK13="AA",225,0)+IF(AL13="AA",190,0)+IF(AM13="AA",225,0)+IF(AN13="AA",75,0)+IF(AO13="AA",225,0)+IF(AP13="AA",225,0)+IF(AQ13="AA",225,0)+IF(AR13="AA",245,0)+IF(AS13="AA",75,0)+IF(AT13="AA",75,0)</f>
        <v>1530</v>
      </c>
      <c r="I13" s="29">
        <f>COUNTIF(M13,"I")+COUNTIF(M13,"AA")+COUNTIF(M13,"S")+COUNTIF(N13,"I")+COUNTIF(N13,"AA")+COUNTIF(N13,"S")+COUNTIF(P13,"I")+COUNTIF(P13,"AA")+COUNTIF(P13,"S")+COUNTIF(R13,"I")+COUNTIF(R13,"AA")+COUNTIF(R13,"S")+COUNTIF(T13,"I")+COUNTIF(T13,"AA")+COUNTIF(T13,"S")+COUNTIF(V13,"I")+COUNTIF(V13,"AA")+COUNTIF(V13,"S")+COUNTIF(Y13,"I")+COUNTIF(Y13,"AA")+COUNTIF(Y13,"S")+COUNTIF(AA13,"I")+COUNTIF(AA13,"AA")+COUNTIF(AA13,"S")+COUNTIF(AC13,"I")+COUNTIF(AC13,"AA")+COUNTIF(AC13,"S")+COUNTIF(AD13,"I")+COUNTIF(AD13,"AA")+COUNTIF(AD13,"S")+COUNTIF(AF13,"I")+COUNTIF(AF13,"AA")+COUNTIF(AF13,"S")+COUNTIF(AH13,"I")+COUNTIF(AH13,"AA")+COUNTIF(AH13,"S")+COUNTIF(AK13,"I")+COUNTIF(AK13,"AA")+COUNTIF(AK13,"S")+COUNTIF(AM13,"I")+COUNTIF(AM13,"AA")+COUNTIF(AM13,"S")+COUNTIF(AP13,"I")+COUNTIF(AP13,"AA")+COUNTIF(AP13,"S")+COUNTIF(AR13,"I")+COUNTIF(AR13,"AA")+COUNTIF(AR13,"S")+COUNTIF(AT13,"I")+COUNTIF(AT13,"AA")+COUNTIF(AT13,"S")</f>
        <v>5</v>
      </c>
      <c r="J13" s="29">
        <f>COUNTIF(O13,"I")+COUNTIF(O13,"AA")+COUNTIF(O13,"S")+COUNTIF(Q13,"I")+COUNTIF(Q13,"AA")+COUNTIF(Q13,"S")+COUNTIF(S13,"I")+COUNTIF(S13,"AA")+COUNTIF(S13,"S")+COUNTIF(U13,"I")+COUNTIF(U13,"AA")+COUNTIF(U13,"S")+COUNTIF(W13,"I")+COUNTIF(W13,"AA")+COUNTIF(W13,"S")+COUNTIF(X13,"I")+COUNTIF(X13,"AA")+COUNTIF(X13,"S")+COUNTIF(Z13,"I")+COUNTIF(Z13,"AA")+COUNTIF(Z13,"S")+COUNTIF(AB13,"I")+COUNTIF(AB13,"AA")+COUNTIF(AB13,"S")+COUNTIF(AE13,"I")+COUNTIF(AE13,"AA")+COUNTIF(AE13,"S")+COUNTIF(AG13,"I")+COUNTIF(AG13,"AA")+COUNTIF(AG13,"S")+COUNTIF(AI13,"I")+COUNTIF(AI13,"AA")+COUNTIF(AI13,"S")+COUNTIF(AJ13,"I")+COUNTIF(AJ13,"AA")+COUNTIF(AJ13,"S")+COUNTIF(AL13,"I")+COUNTIF(AL13,"AA")+COUNTIF(AL13,"S")+COUNTIF(AN13,"I")+COUNTIF(AN13,"AA")+COUNTIF(AN13,"S")+COUNTIF(AO13,"I")+COUNTIF(AO13,"AA")+COUNTIF(AO13,"S")+COUNTIF(AQ13,"I")+COUNTIF(AQ13,"AA")+COUNTIF(AQ13,"S")+COUNTIF(AS13,"I")+COUNTIF(AS13,"AA")+COUNTIF(AS13,"S")</f>
        <v>7</v>
      </c>
      <c r="K13" s="29">
        <f>IF(AND((COUNTIF(N13,"I")+COUNTIF(N13,"AA")+COUNTIF(N13,"S"))&gt;0,(COUNTIF(O13,"I")+COUNTIF(O13,"AA")+COUNTIF(O13,"S"))&gt;0),1,0)+IF(AND((COUNTIF(P13,"I")+COUNTIF(P13,"AA")+COUNTIF(P13,"S"))&gt;0,(COUNTIF(Q13,"I")+COUNTIF(Q13,"AA")+COUNTIF(Q13,"S"))&gt;0),1,0)+IF(AND((COUNTIF(R13,"I")+COUNTIF(R13,"AA")+COUNTIF(R13,"S"))&gt;0,(COUNTIF(S13,"I")+COUNTIF(S13,"AA")+COUNTIF(S13,"S"))&gt;0),1,0)+IF(AND((COUNTIF(T13,"I")+COUNTIF(T13,"AA")+COUNTIF(T13,"S"))&gt;0,(COUNTIF(U13,"I")+COUNTIF(U13,"AA")+COUNTIF(U13,"S"))&gt;0),1,0)+IF(AND((COUNTIF(V13,"I")+COUNTIF(V13,"AA")+COUNTIF(V13,"S"))&gt;0,(COUNTIF(W13,"I")+COUNTIF(W13,"AA")+COUNTIF(W13,"S"))&gt;0),1,0)+IF(AND((COUNTIF(Y13,"I")+COUNTIF(Y13,"AA")+COUNTIF(Y13,"S"))&gt;0,(COUNTIF(Z13,"I")+COUNTIF(Z13,"AA")+COUNTIF(Z13,"S"))&gt;0),1,0)+IF(AND((COUNTIF(AA13,"I")+COUNTIF(AA13,"AA")+COUNTIF(AA13,"S"))&gt;0,(COUNTIF(AB13,"I")+COUNTIF(AB13,"AA")+COUNTIF(AB13,"S"))&gt;0),1,0)+IF(AND((COUNTIF(AD13,"I")+COUNTIF(AD13,"AA")+COUNTIF(AD13,"S"))&gt;0,(COUNTIF(AE13,"I")+COUNTIF(AE13,"AA")+COUNTIF(AE13,"S"))&gt;0),1,0)+IF(AND((COUNTIF(AF13,"I")+COUNTIF(AF13,"AA")+COUNTIF(AF13,"S"))&gt;0,(COUNTIF(AG13,"I")+COUNTIF(AG13,"AA")+COUNTIF(AG13,"S"))&gt;0),1,0)+IF(AND((COUNTIF(AH13,"I")+COUNTIF(AH13,"AA")+COUNTIF(AH13,"S"))&gt;0,(COUNTIF(AI13,"I")+COUNTIF(AI13,"AA")+COUNTIF(AI13,"S"))&gt;0),1,0)+IF(AND((COUNTIF(AK13,"I")+COUNTIF(AK13,"AA")+COUNTIF(AK13,"S"))&gt;0,(COUNTIF(AL13,"I")+COUNTIF(AL13,"AA")+COUNTIF(AL13,"S"))&gt;0),1,0)+IF(AND((COUNTIF(AM13,"I")+COUNTIF(AM13,"AA")+COUNTIF(AM13,"S"))&gt;0,(COUNTIF(AN13,"I")+COUNTIF(AN13,"AA")+COUNTIF(AN13,"S"))&gt;0),1,0)+IF(AND((COUNTIF(AP13,"I")+COUNTIF(AP13,"AA")+COUNTIF(AP13,"S"))&gt;0,(COUNTIF(AQ13,"I")+COUNTIF(AQ13,"AA")+COUNTIF(AQ13,"S"))&gt;0),1,0)+IF(AND((COUNTIF(AR13,"I")+COUNTIF(AR13,"AA")+COUNTIF(AR13,"S"))&gt;0,(COUNTIF(AS13,"I")+COUNTIF(AS13,"AA")+COUNTIF(AS13,"S"))&gt;0),1,0)</f>
        <v>0</v>
      </c>
      <c r="L13" s="22"/>
      <c r="M13" s="24"/>
      <c r="N13" s="24"/>
      <c r="O13" s="34" t="s">
        <v>284</v>
      </c>
      <c r="P13" s="34" t="s">
        <v>24</v>
      </c>
      <c r="Q13" s="24"/>
      <c r="R13" s="34" t="s">
        <v>285</v>
      </c>
      <c r="S13" s="24"/>
      <c r="T13" s="24" t="s">
        <v>283</v>
      </c>
      <c r="U13" s="34" t="s">
        <v>285</v>
      </c>
      <c r="V13" s="24"/>
      <c r="W13" s="24"/>
      <c r="X13" s="24"/>
      <c r="Y13" s="34" t="s">
        <v>284</v>
      </c>
      <c r="Z13" s="24"/>
      <c r="AA13" s="24"/>
      <c r="AB13" s="34" t="s">
        <v>24</v>
      </c>
      <c r="AC13" s="34" t="s">
        <v>24</v>
      </c>
      <c r="AD13" s="24"/>
      <c r="AE13" s="24"/>
      <c r="AF13" s="24"/>
      <c r="AG13" s="34" t="s">
        <v>284</v>
      </c>
      <c r="AH13" s="24"/>
      <c r="AI13" s="34" t="s">
        <v>24</v>
      </c>
      <c r="AJ13" s="24"/>
      <c r="AK13" s="24"/>
      <c r="AL13" s="24"/>
      <c r="AM13" s="24"/>
      <c r="AN13" s="34" t="s">
        <v>285</v>
      </c>
      <c r="AO13" s="34" t="s">
        <v>285</v>
      </c>
      <c r="AP13" s="24" t="s">
        <v>283</v>
      </c>
      <c r="AQ13" s="24"/>
      <c r="AR13" s="34" t="s">
        <v>285</v>
      </c>
      <c r="AS13" s="24"/>
      <c r="AT13" s="24"/>
    </row>
    <row r="14" spans="1:46" x14ac:dyDescent="0.3">
      <c r="A14" s="4" t="s">
        <v>231</v>
      </c>
      <c r="B14" s="4" t="s">
        <v>29</v>
      </c>
      <c r="C14" s="4"/>
      <c r="D14" s="29">
        <f>COUNTIF(M14:AT14,"I")</f>
        <v>5</v>
      </c>
      <c r="E14" s="29">
        <f>COUNTIF(M14:AT14,"AA")</f>
        <v>4</v>
      </c>
      <c r="F14" s="29">
        <f>D14+E14</f>
        <v>9</v>
      </c>
      <c r="G14" s="29">
        <f>COUNTIF(M14:AT14,"S")</f>
        <v>3</v>
      </c>
      <c r="H14" s="29">
        <f>IF(M14="I",180,0)+IF(N14="I",90,0)+IF(O14="I",180,0)+IF(P14="I",180,0)+IF(Q14="I",180,0)+IF(R14="I",90,0)+IF(S14="I",180,0)+IF(T14="I",105,0)+IF(U14="I",180,0)+IF(V14="I",180,0)+IF(W14="I",120,0)+IF(X14="I",120,0)+IF(Y14="I",180,0)+IF(Z14="I",180,0)+IF(AA14="I",120,0)+IF(AB14="I",180,0)+IF(AC14="I",120,0)+IF(AD14="I",150,0)+IF(AE14="I",180,0)+IF(AF14="I",180,0)+IF(AG14="I",120,0)+IF(AH14="I",120,0)+IF(AI14="I",180,0)+IF(AJ14="I",120,0)+IF(AK14="I",180,0)+IF(AL14="I",150,0)+IF(AM14="I",180,0)+IF(AN14="I",60,0)+IF(AO14="I",180,0)+IF(AP14="I",180,0)+IF(AQ14="I",180,0)+IF(AR14="I",195,0)+IF(AS14="I",60,0)+IF(AT14="I",60,0)+IF(M14="AA",225,0)+IF(N14="AA",115,0)+IF(O14="AA",225,0)+IF(P14="AA",225,0)+IF(Q14="AA",225,0)+IF(R14="AA",115,0)+IF(S14="AA",225,0)+IF(T14="AA",135,0)+IF(U14="AA",225,0)+IF(V14="AA",225,0)+IF(W14="AA",150,0)+IF(X14="AA",150,0)+IF(Y14="AA",225,0)+IF(Z14="AA",225,0)+IF(AA14="AA",150,0)+IF(AB14="AA",225,0)+IF(AC14="AA",150,0)+IF(AD14="AA",190,0)+IF(AE14="AA",225,0)+IF(AF14="AA",225,0)+IF(AG14="AA",150,0)+IF(AH14="AA",150,0)+IF(AI14="AA",225,0)+IF(AJ14="AA",150,0)+IF(AK14="AA",225,0)+IF(AL14="AA",190,0)+IF(AM14="AA",225,0)+IF(AN14="AA",75,0)+IF(AO14="AA",225,0)+IF(AP14="AA",225,0)+IF(AQ14="AA",225,0)+IF(AR14="AA",245,0)+IF(AS14="AA",75,0)+IF(AT14="AA",75,0)</f>
        <v>1460</v>
      </c>
      <c r="I14" s="29">
        <f>COUNTIF(M14,"I")+COUNTIF(M14,"AA")+COUNTIF(M14,"S")+COUNTIF(N14,"I")+COUNTIF(N14,"AA")+COUNTIF(N14,"S")+COUNTIF(P14,"I")+COUNTIF(P14,"AA")+COUNTIF(P14,"S")+COUNTIF(R14,"I")+COUNTIF(R14,"AA")+COUNTIF(R14,"S")+COUNTIF(T14,"I")+COUNTIF(T14,"AA")+COUNTIF(T14,"S")+COUNTIF(V14,"I")+COUNTIF(V14,"AA")+COUNTIF(V14,"S")+COUNTIF(Y14,"I")+COUNTIF(Y14,"AA")+COUNTIF(Y14,"S")+COUNTIF(AA14,"I")+COUNTIF(AA14,"AA")+COUNTIF(AA14,"S")+COUNTIF(AC14,"I")+COUNTIF(AC14,"AA")+COUNTIF(AC14,"S")+COUNTIF(AD14,"I")+COUNTIF(AD14,"AA")+COUNTIF(AD14,"S")+COUNTIF(AF14,"I")+COUNTIF(AF14,"AA")+COUNTIF(AF14,"S")+COUNTIF(AH14,"I")+COUNTIF(AH14,"AA")+COUNTIF(AH14,"S")+COUNTIF(AK14,"I")+COUNTIF(AK14,"AA")+COUNTIF(AK14,"S")+COUNTIF(AM14,"I")+COUNTIF(AM14,"AA")+COUNTIF(AM14,"S")+COUNTIF(AP14,"I")+COUNTIF(AP14,"AA")+COUNTIF(AP14,"S")+COUNTIF(AR14,"I")+COUNTIF(AR14,"AA")+COUNTIF(AR14,"S")+COUNTIF(AT14,"I")+COUNTIF(AT14,"AA")+COUNTIF(AT14,"S")</f>
        <v>6</v>
      </c>
      <c r="J14" s="29">
        <f>COUNTIF(O14,"I")+COUNTIF(O14,"AA")+COUNTIF(O14,"S")+COUNTIF(Q14,"I")+COUNTIF(Q14,"AA")+COUNTIF(Q14,"S")+COUNTIF(S14,"I")+COUNTIF(S14,"AA")+COUNTIF(S14,"S")+COUNTIF(U14,"I")+COUNTIF(U14,"AA")+COUNTIF(U14,"S")+COUNTIF(W14,"I")+COUNTIF(W14,"AA")+COUNTIF(W14,"S")+COUNTIF(X14,"I")+COUNTIF(X14,"AA")+COUNTIF(X14,"S")+COUNTIF(Z14,"I")+COUNTIF(Z14,"AA")+COUNTIF(Z14,"S")+COUNTIF(AB14,"I")+COUNTIF(AB14,"AA")+COUNTIF(AB14,"S")+COUNTIF(AE14,"I")+COUNTIF(AE14,"AA")+COUNTIF(AE14,"S")+COUNTIF(AG14,"I")+COUNTIF(AG14,"AA")+COUNTIF(AG14,"S")+COUNTIF(AI14,"I")+COUNTIF(AI14,"AA")+COUNTIF(AI14,"S")+COUNTIF(AJ14,"I")+COUNTIF(AJ14,"AA")+COUNTIF(AJ14,"S")+COUNTIF(AL14,"I")+COUNTIF(AL14,"AA")+COUNTIF(AL14,"S")+COUNTIF(AN14,"I")+COUNTIF(AN14,"AA")+COUNTIF(AN14,"S")+COUNTIF(AO14,"I")+COUNTIF(AO14,"AA")+COUNTIF(AO14,"S")+COUNTIF(AQ14,"I")+COUNTIF(AQ14,"AA")+COUNTIF(AQ14,"S")+COUNTIF(AS14,"I")+COUNTIF(AS14,"AA")+COUNTIF(AS14,"S")</f>
        <v>6</v>
      </c>
      <c r="K14" s="29">
        <f>IF(AND((COUNTIF(N14,"I")+COUNTIF(N14,"AA")+COUNTIF(N14,"S"))&gt;0,(COUNTIF(O14,"I")+COUNTIF(O14,"AA")+COUNTIF(O14,"S"))&gt;0),1,0)+IF(AND((COUNTIF(P14,"I")+COUNTIF(P14,"AA")+COUNTIF(P14,"S"))&gt;0,(COUNTIF(Q14,"I")+COUNTIF(Q14,"AA")+COUNTIF(Q14,"S"))&gt;0),1,0)+IF(AND((COUNTIF(R14,"I")+COUNTIF(R14,"AA")+COUNTIF(R14,"S"))&gt;0,(COUNTIF(S14,"I")+COUNTIF(S14,"AA")+COUNTIF(S14,"S"))&gt;0),1,0)+IF(AND((COUNTIF(T14,"I")+COUNTIF(T14,"AA")+COUNTIF(T14,"S"))&gt;0,(COUNTIF(U14,"I")+COUNTIF(U14,"AA")+COUNTIF(U14,"S"))&gt;0),1,0)+IF(AND((COUNTIF(V14,"I")+COUNTIF(V14,"AA")+COUNTIF(V14,"S"))&gt;0,(COUNTIF(W14,"I")+COUNTIF(W14,"AA")+COUNTIF(W14,"S"))&gt;0),1,0)+IF(AND((COUNTIF(Y14,"I")+COUNTIF(Y14,"AA")+COUNTIF(Y14,"S"))&gt;0,(COUNTIF(Z14,"I")+COUNTIF(Z14,"AA")+COUNTIF(Z14,"S"))&gt;0),1,0)+IF(AND((COUNTIF(AA14,"I")+COUNTIF(AA14,"AA")+COUNTIF(AA14,"S"))&gt;0,(COUNTIF(AB14,"I")+COUNTIF(AB14,"AA")+COUNTIF(AB14,"S"))&gt;0),1,0)+IF(AND((COUNTIF(AD14,"I")+COUNTIF(AD14,"AA")+COUNTIF(AD14,"S"))&gt;0,(COUNTIF(AE14,"I")+COUNTIF(AE14,"AA")+COUNTIF(AE14,"S"))&gt;0),1,0)+IF(AND((COUNTIF(AF14,"I")+COUNTIF(AF14,"AA")+COUNTIF(AF14,"S"))&gt;0,(COUNTIF(AG14,"I")+COUNTIF(AG14,"AA")+COUNTIF(AG14,"S"))&gt;0),1,0)+IF(AND((COUNTIF(AH14,"I")+COUNTIF(AH14,"AA")+COUNTIF(AH14,"S"))&gt;0,(COUNTIF(AI14,"I")+COUNTIF(AI14,"AA")+COUNTIF(AI14,"S"))&gt;0),1,0)+IF(AND((COUNTIF(AK14,"I")+COUNTIF(AK14,"AA")+COUNTIF(AK14,"S"))&gt;0,(COUNTIF(AL14,"I")+COUNTIF(AL14,"AA")+COUNTIF(AL14,"S"))&gt;0),1,0)+IF(AND((COUNTIF(AM14,"I")+COUNTIF(AM14,"AA")+COUNTIF(AM14,"S"))&gt;0,(COUNTIF(AN14,"I")+COUNTIF(AN14,"AA")+COUNTIF(AN14,"S"))&gt;0),1,0)+IF(AND((COUNTIF(AP14,"I")+COUNTIF(AP14,"AA")+COUNTIF(AP14,"S"))&gt;0,(COUNTIF(AQ14,"I")+COUNTIF(AQ14,"AA")+COUNTIF(AQ14,"S"))&gt;0),1,0)+IF(AND((COUNTIF(AR14,"I")+COUNTIF(AR14,"AA")+COUNTIF(AR14,"S"))&gt;0,(COUNTIF(AS14,"I")+COUNTIF(AS14,"AA")+COUNTIF(AS14,"S"))&gt;0),1,0)</f>
        <v>0</v>
      </c>
      <c r="L14" s="22"/>
      <c r="M14" s="24" t="s">
        <v>283</v>
      </c>
      <c r="N14" s="24"/>
      <c r="O14" s="34" t="s">
        <v>284</v>
      </c>
      <c r="P14" s="34" t="s">
        <v>284</v>
      </c>
      <c r="Q14" s="24"/>
      <c r="R14" s="34" t="s">
        <v>285</v>
      </c>
      <c r="S14" s="24"/>
      <c r="T14" s="34" t="s">
        <v>24</v>
      </c>
      <c r="U14" s="24"/>
      <c r="V14" s="24"/>
      <c r="W14" s="24"/>
      <c r="X14" s="24"/>
      <c r="Y14" s="24"/>
      <c r="Z14" s="24"/>
      <c r="AA14" s="24" t="s">
        <v>283</v>
      </c>
      <c r="AB14" s="34" t="s">
        <v>285</v>
      </c>
      <c r="AC14" s="24"/>
      <c r="AD14" s="34" t="s">
        <v>285</v>
      </c>
      <c r="AE14" s="24"/>
      <c r="AF14" s="24"/>
      <c r="AG14" s="24"/>
      <c r="AH14" s="24"/>
      <c r="AI14" s="34" t="s">
        <v>24</v>
      </c>
      <c r="AJ14" s="24"/>
      <c r="AK14" s="24"/>
      <c r="AL14" s="34" t="s">
        <v>285</v>
      </c>
      <c r="AM14" s="24"/>
      <c r="AN14" s="34" t="s">
        <v>285</v>
      </c>
      <c r="AO14" s="34" t="s">
        <v>284</v>
      </c>
      <c r="AP14" s="34" t="s">
        <v>24</v>
      </c>
      <c r="AQ14" s="24"/>
      <c r="AR14" s="34" t="s">
        <v>24</v>
      </c>
      <c r="AS14" s="24"/>
      <c r="AT14" s="24"/>
    </row>
    <row r="15" spans="1:46" x14ac:dyDescent="0.3">
      <c r="A15" s="4" t="s">
        <v>232</v>
      </c>
      <c r="B15" s="4" t="s">
        <v>29</v>
      </c>
      <c r="C15" s="4"/>
      <c r="D15" s="29">
        <f>COUNTIF(M15:AT15,"I")</f>
        <v>5</v>
      </c>
      <c r="E15" s="29">
        <f>COUNTIF(M15:AT15,"AA")</f>
        <v>4</v>
      </c>
      <c r="F15" s="29">
        <f>D15+E15</f>
        <v>9</v>
      </c>
      <c r="G15" s="29">
        <f>COUNTIF(M15:AT15,"S")</f>
        <v>3</v>
      </c>
      <c r="H15" s="29">
        <f>IF(M15="I",180,0)+IF(N15="I",90,0)+IF(O15="I",180,0)+IF(P15="I",180,0)+IF(Q15="I",180,0)+IF(R15="I",90,0)+IF(S15="I",180,0)+IF(T15="I",105,0)+IF(U15="I",180,0)+IF(V15="I",180,0)+IF(W15="I",120,0)+IF(X15="I",120,0)+IF(Y15="I",180,0)+IF(Z15="I",180,0)+IF(AA15="I",120,0)+IF(AB15="I",180,0)+IF(AC15="I",120,0)+IF(AD15="I",150,0)+IF(AE15="I",180,0)+IF(AF15="I",180,0)+IF(AG15="I",120,0)+IF(AH15="I",120,0)+IF(AI15="I",180,0)+IF(AJ15="I",120,0)+IF(AK15="I",180,0)+IF(AL15="I",150,0)+IF(AM15="I",180,0)+IF(AN15="I",60,0)+IF(AO15="I",180,0)+IF(AP15="I",180,0)+IF(AQ15="I",180,0)+IF(AR15="I",195,0)+IF(AS15="I",60,0)+IF(AT15="I",60,0)+IF(M15="AA",225,0)+IF(N15="AA",115,0)+IF(O15="AA",225,0)+IF(P15="AA",225,0)+IF(Q15="AA",225,0)+IF(R15="AA",115,0)+IF(S15="AA",225,0)+IF(T15="AA",135,0)+IF(U15="AA",225,0)+IF(V15="AA",225,0)+IF(W15="AA",150,0)+IF(X15="AA",150,0)+IF(Y15="AA",225,0)+IF(Z15="AA",225,0)+IF(AA15="AA",150,0)+IF(AB15="AA",225,0)+IF(AC15="AA",150,0)+IF(AD15="AA",190,0)+IF(AE15="AA",225,0)+IF(AF15="AA",225,0)+IF(AG15="AA",150,0)+IF(AH15="AA",150,0)+IF(AI15="AA",225,0)+IF(AJ15="AA",150,0)+IF(AK15="AA",225,0)+IF(AL15="AA",190,0)+IF(AM15="AA",225,0)+IF(AN15="AA",75,0)+IF(AO15="AA",225,0)+IF(AP15="AA",225,0)+IF(AQ15="AA",225,0)+IF(AR15="AA",245,0)+IF(AS15="AA",75,0)+IF(AT15="AA",75,0)</f>
        <v>1505</v>
      </c>
      <c r="I15" s="29">
        <f>COUNTIF(M15,"I")+COUNTIF(M15,"AA")+COUNTIF(M15,"S")+COUNTIF(N15,"I")+COUNTIF(N15,"AA")+COUNTIF(N15,"S")+COUNTIF(P15,"I")+COUNTIF(P15,"AA")+COUNTIF(P15,"S")+COUNTIF(R15,"I")+COUNTIF(R15,"AA")+COUNTIF(R15,"S")+COUNTIF(T15,"I")+COUNTIF(T15,"AA")+COUNTIF(T15,"S")+COUNTIF(V15,"I")+COUNTIF(V15,"AA")+COUNTIF(V15,"S")+COUNTIF(Y15,"I")+COUNTIF(Y15,"AA")+COUNTIF(Y15,"S")+COUNTIF(AA15,"I")+COUNTIF(AA15,"AA")+COUNTIF(AA15,"S")+COUNTIF(AC15,"I")+COUNTIF(AC15,"AA")+COUNTIF(AC15,"S")+COUNTIF(AD15,"I")+COUNTIF(AD15,"AA")+COUNTIF(AD15,"S")+COUNTIF(AF15,"I")+COUNTIF(AF15,"AA")+COUNTIF(AF15,"S")+COUNTIF(AH15,"I")+COUNTIF(AH15,"AA")+COUNTIF(AH15,"S")+COUNTIF(AK15,"I")+COUNTIF(AK15,"AA")+COUNTIF(AK15,"S")+COUNTIF(AM15,"I")+COUNTIF(AM15,"AA")+COUNTIF(AM15,"S")+COUNTIF(AP15,"I")+COUNTIF(AP15,"AA")+COUNTIF(AP15,"S")+COUNTIF(AR15,"I")+COUNTIF(AR15,"AA")+COUNTIF(AR15,"S")+COUNTIF(AT15,"I")+COUNTIF(AT15,"AA")+COUNTIF(AT15,"S")</f>
        <v>6</v>
      </c>
      <c r="J15" s="29">
        <f>COUNTIF(O15,"I")+COUNTIF(O15,"AA")+COUNTIF(O15,"S")+COUNTIF(Q15,"I")+COUNTIF(Q15,"AA")+COUNTIF(Q15,"S")+COUNTIF(S15,"I")+COUNTIF(S15,"AA")+COUNTIF(S15,"S")+COUNTIF(U15,"I")+COUNTIF(U15,"AA")+COUNTIF(U15,"S")+COUNTIF(W15,"I")+COUNTIF(W15,"AA")+COUNTIF(W15,"S")+COUNTIF(X15,"I")+COUNTIF(X15,"AA")+COUNTIF(X15,"S")+COUNTIF(Z15,"I")+COUNTIF(Z15,"AA")+COUNTIF(Z15,"S")+COUNTIF(AB15,"I")+COUNTIF(AB15,"AA")+COUNTIF(AB15,"S")+COUNTIF(AE15,"I")+COUNTIF(AE15,"AA")+COUNTIF(AE15,"S")+COUNTIF(AG15,"I")+COUNTIF(AG15,"AA")+COUNTIF(AG15,"S")+COUNTIF(AI15,"I")+COUNTIF(AI15,"AA")+COUNTIF(AI15,"S")+COUNTIF(AJ15,"I")+COUNTIF(AJ15,"AA")+COUNTIF(AJ15,"S")+COUNTIF(AL15,"I")+COUNTIF(AL15,"AA")+COUNTIF(AL15,"S")+COUNTIF(AN15,"I")+COUNTIF(AN15,"AA")+COUNTIF(AN15,"S")+COUNTIF(AO15,"I")+COUNTIF(AO15,"AA")+COUNTIF(AO15,"S")+COUNTIF(AQ15,"I")+COUNTIF(AQ15,"AA")+COUNTIF(AQ15,"S")+COUNTIF(AS15,"I")+COUNTIF(AS15,"AA")+COUNTIF(AS15,"S")</f>
        <v>6</v>
      </c>
      <c r="K15" s="29">
        <f>IF(AND((COUNTIF(N15,"I")+COUNTIF(N15,"AA")+COUNTIF(N15,"S"))&gt;0,(COUNTIF(O15,"I")+COUNTIF(O15,"AA")+COUNTIF(O15,"S"))&gt;0),1,0)+IF(AND((COUNTIF(P15,"I")+COUNTIF(P15,"AA")+COUNTIF(P15,"S"))&gt;0,(COUNTIF(Q15,"I")+COUNTIF(Q15,"AA")+COUNTIF(Q15,"S"))&gt;0),1,0)+IF(AND((COUNTIF(R15,"I")+COUNTIF(R15,"AA")+COUNTIF(R15,"S"))&gt;0,(COUNTIF(S15,"I")+COUNTIF(S15,"AA")+COUNTIF(S15,"S"))&gt;0),1,0)+IF(AND((COUNTIF(T15,"I")+COUNTIF(T15,"AA")+COUNTIF(T15,"S"))&gt;0,(COUNTIF(U15,"I")+COUNTIF(U15,"AA")+COUNTIF(U15,"S"))&gt;0),1,0)+IF(AND((COUNTIF(V15,"I")+COUNTIF(V15,"AA")+COUNTIF(V15,"S"))&gt;0,(COUNTIF(W15,"I")+COUNTIF(W15,"AA")+COUNTIF(W15,"S"))&gt;0),1,0)+IF(AND((COUNTIF(Y15,"I")+COUNTIF(Y15,"AA")+COUNTIF(Y15,"S"))&gt;0,(COUNTIF(Z15,"I")+COUNTIF(Z15,"AA")+COUNTIF(Z15,"S"))&gt;0),1,0)+IF(AND((COUNTIF(AA15,"I")+COUNTIF(AA15,"AA")+COUNTIF(AA15,"S"))&gt;0,(COUNTIF(AB15,"I")+COUNTIF(AB15,"AA")+COUNTIF(AB15,"S"))&gt;0),1,0)+IF(AND((COUNTIF(AD15,"I")+COUNTIF(AD15,"AA")+COUNTIF(AD15,"S"))&gt;0,(COUNTIF(AE15,"I")+COUNTIF(AE15,"AA")+COUNTIF(AE15,"S"))&gt;0),1,0)+IF(AND((COUNTIF(AF15,"I")+COUNTIF(AF15,"AA")+COUNTIF(AF15,"S"))&gt;0,(COUNTIF(AG15,"I")+COUNTIF(AG15,"AA")+COUNTIF(AG15,"S"))&gt;0),1,0)+IF(AND((COUNTIF(AH15,"I")+COUNTIF(AH15,"AA")+COUNTIF(AH15,"S"))&gt;0,(COUNTIF(AI15,"I")+COUNTIF(AI15,"AA")+COUNTIF(AI15,"S"))&gt;0),1,0)+IF(AND((COUNTIF(AK15,"I")+COUNTIF(AK15,"AA")+COUNTIF(AK15,"S"))&gt;0,(COUNTIF(AL15,"I")+COUNTIF(AL15,"AA")+COUNTIF(AL15,"S"))&gt;0),1,0)+IF(AND((COUNTIF(AM15,"I")+COUNTIF(AM15,"AA")+COUNTIF(AM15,"S"))&gt;0,(COUNTIF(AN15,"I")+COUNTIF(AN15,"AA")+COUNTIF(AN15,"S"))&gt;0),1,0)+IF(AND((COUNTIF(AP15,"I")+COUNTIF(AP15,"AA")+COUNTIF(AP15,"S"))&gt;0,(COUNTIF(AQ15,"I")+COUNTIF(AQ15,"AA")+COUNTIF(AQ15,"S"))&gt;0),1,0)+IF(AND((COUNTIF(AR15,"I")+COUNTIF(AR15,"AA")+COUNTIF(AR15,"S"))&gt;0,(COUNTIF(AS15,"I")+COUNTIF(AS15,"AA")+COUNTIF(AS15,"S"))&gt;0),1,0)</f>
        <v>1</v>
      </c>
      <c r="L15" s="22"/>
      <c r="M15" s="24"/>
      <c r="N15" s="24"/>
      <c r="O15" s="34" t="s">
        <v>284</v>
      </c>
      <c r="P15" s="34" t="s">
        <v>284</v>
      </c>
      <c r="Q15" s="24"/>
      <c r="R15" s="24"/>
      <c r="S15" s="24"/>
      <c r="T15" s="34" t="s">
        <v>24</v>
      </c>
      <c r="U15" s="34" t="s">
        <v>24</v>
      </c>
      <c r="V15" s="34" t="s">
        <v>285</v>
      </c>
      <c r="W15" s="24" t="s">
        <v>283</v>
      </c>
      <c r="X15" s="24"/>
      <c r="Y15" s="24"/>
      <c r="Z15" s="24"/>
      <c r="AA15" s="24"/>
      <c r="AB15" s="34" t="s">
        <v>285</v>
      </c>
      <c r="AC15" s="24"/>
      <c r="AD15" s="24"/>
      <c r="AE15" s="24"/>
      <c r="AF15" s="34" t="s">
        <v>284</v>
      </c>
      <c r="AG15" s="24"/>
      <c r="AH15" s="34" t="s">
        <v>24</v>
      </c>
      <c r="AI15" s="24"/>
      <c r="AJ15" s="24"/>
      <c r="AK15" s="24"/>
      <c r="AL15" s="34" t="s">
        <v>285</v>
      </c>
      <c r="AM15" s="24"/>
      <c r="AN15" s="34" t="s">
        <v>285</v>
      </c>
      <c r="AO15" s="34" t="s">
        <v>285</v>
      </c>
      <c r="AP15" s="24" t="s">
        <v>283</v>
      </c>
      <c r="AQ15" s="24"/>
      <c r="AR15" s="34" t="s">
        <v>24</v>
      </c>
      <c r="AS15" s="24"/>
      <c r="AT15" s="24"/>
    </row>
    <row r="16" spans="1:46" x14ac:dyDescent="0.3">
      <c r="A16" s="4" t="s">
        <v>233</v>
      </c>
      <c r="B16" s="4" t="s">
        <v>29</v>
      </c>
      <c r="C16" s="4"/>
      <c r="D16" s="29">
        <f>COUNTIF(M16:AT16,"I")</f>
        <v>5</v>
      </c>
      <c r="E16" s="29">
        <f>COUNTIF(M16:AT16,"AA")</f>
        <v>4</v>
      </c>
      <c r="F16" s="29">
        <f>D16+E16</f>
        <v>9</v>
      </c>
      <c r="G16" s="29">
        <f>COUNTIF(M16:AT16,"S")</f>
        <v>3</v>
      </c>
      <c r="H16" s="29">
        <f>IF(M16="I",180,0)+IF(N16="I",90,0)+IF(O16="I",180,0)+IF(P16="I",180,0)+IF(Q16="I",180,0)+IF(R16="I",90,0)+IF(S16="I",180,0)+IF(T16="I",105,0)+IF(U16="I",180,0)+IF(V16="I",180,0)+IF(W16="I",120,0)+IF(X16="I",120,0)+IF(Y16="I",180,0)+IF(Z16="I",180,0)+IF(AA16="I",120,0)+IF(AB16="I",180,0)+IF(AC16="I",120,0)+IF(AD16="I",150,0)+IF(AE16="I",180,0)+IF(AF16="I",180,0)+IF(AG16="I",120,0)+IF(AH16="I",120,0)+IF(AI16="I",180,0)+IF(AJ16="I",120,0)+IF(AK16="I",180,0)+IF(AL16="I",150,0)+IF(AM16="I",180,0)+IF(AN16="I",60,0)+IF(AO16="I",180,0)+IF(AP16="I",180,0)+IF(AQ16="I",180,0)+IF(AR16="I",195,0)+IF(AS16="I",60,0)+IF(AT16="I",60,0)+IF(M16="AA",225,0)+IF(N16="AA",115,0)+IF(O16="AA",225,0)+IF(P16="AA",225,0)+IF(Q16="AA",225,0)+IF(R16="AA",115,0)+IF(S16="AA",225,0)+IF(T16="AA",135,0)+IF(U16="AA",225,0)+IF(V16="AA",225,0)+IF(W16="AA",150,0)+IF(X16="AA",150,0)+IF(Y16="AA",225,0)+IF(Z16="AA",225,0)+IF(AA16="AA",150,0)+IF(AB16="AA",225,0)+IF(AC16="AA",150,0)+IF(AD16="AA",190,0)+IF(AE16="AA",225,0)+IF(AF16="AA",225,0)+IF(AG16="AA",150,0)+IF(AH16="AA",150,0)+IF(AI16="AA",225,0)+IF(AJ16="AA",150,0)+IF(AK16="AA",225,0)+IF(AL16="AA",190,0)+IF(AM16="AA",225,0)+IF(AN16="AA",75,0)+IF(AO16="AA",225,0)+IF(AP16="AA",225,0)+IF(AQ16="AA",225,0)+IF(AR16="AA",245,0)+IF(AS16="AA",75,0)+IF(AT16="AA",75,0)</f>
        <v>1535</v>
      </c>
      <c r="I16" s="29">
        <f>COUNTIF(M16,"I")+COUNTIF(M16,"AA")+COUNTIF(M16,"S")+COUNTIF(N16,"I")+COUNTIF(N16,"AA")+COUNTIF(N16,"S")+COUNTIF(P16,"I")+COUNTIF(P16,"AA")+COUNTIF(P16,"S")+COUNTIF(R16,"I")+COUNTIF(R16,"AA")+COUNTIF(R16,"S")+COUNTIF(T16,"I")+COUNTIF(T16,"AA")+COUNTIF(T16,"S")+COUNTIF(V16,"I")+COUNTIF(V16,"AA")+COUNTIF(V16,"S")+COUNTIF(Y16,"I")+COUNTIF(Y16,"AA")+COUNTIF(Y16,"S")+COUNTIF(AA16,"I")+COUNTIF(AA16,"AA")+COUNTIF(AA16,"S")+COUNTIF(AC16,"I")+COUNTIF(AC16,"AA")+COUNTIF(AC16,"S")+COUNTIF(AD16,"I")+COUNTIF(AD16,"AA")+COUNTIF(AD16,"S")+COUNTIF(AF16,"I")+COUNTIF(AF16,"AA")+COUNTIF(AF16,"S")+COUNTIF(AH16,"I")+COUNTIF(AH16,"AA")+COUNTIF(AH16,"S")+COUNTIF(AK16,"I")+COUNTIF(AK16,"AA")+COUNTIF(AK16,"S")+COUNTIF(AM16,"I")+COUNTIF(AM16,"AA")+COUNTIF(AM16,"S")+COUNTIF(AP16,"I")+COUNTIF(AP16,"AA")+COUNTIF(AP16,"S")+COUNTIF(AR16,"I")+COUNTIF(AR16,"AA")+COUNTIF(AR16,"S")+COUNTIF(AT16,"I")+COUNTIF(AT16,"AA")+COUNTIF(AT16,"S")</f>
        <v>5</v>
      </c>
      <c r="J16" s="29">
        <f>COUNTIF(O16,"I")+COUNTIF(O16,"AA")+COUNTIF(O16,"S")+COUNTIF(Q16,"I")+COUNTIF(Q16,"AA")+COUNTIF(Q16,"S")+COUNTIF(S16,"I")+COUNTIF(S16,"AA")+COUNTIF(S16,"S")+COUNTIF(U16,"I")+COUNTIF(U16,"AA")+COUNTIF(U16,"S")+COUNTIF(W16,"I")+COUNTIF(W16,"AA")+COUNTIF(W16,"S")+COUNTIF(X16,"I")+COUNTIF(X16,"AA")+COUNTIF(X16,"S")+COUNTIF(Z16,"I")+COUNTIF(Z16,"AA")+COUNTIF(Z16,"S")+COUNTIF(AB16,"I")+COUNTIF(AB16,"AA")+COUNTIF(AB16,"S")+COUNTIF(AE16,"I")+COUNTIF(AE16,"AA")+COUNTIF(AE16,"S")+COUNTIF(AG16,"I")+COUNTIF(AG16,"AA")+COUNTIF(AG16,"S")+COUNTIF(AI16,"I")+COUNTIF(AI16,"AA")+COUNTIF(AI16,"S")+COUNTIF(AJ16,"I")+COUNTIF(AJ16,"AA")+COUNTIF(AJ16,"S")+COUNTIF(AL16,"I")+COUNTIF(AL16,"AA")+COUNTIF(AL16,"S")+COUNTIF(AN16,"I")+COUNTIF(AN16,"AA")+COUNTIF(AN16,"S")+COUNTIF(AO16,"I")+COUNTIF(AO16,"AA")+COUNTIF(AO16,"S")+COUNTIF(AQ16,"I")+COUNTIF(AQ16,"AA")+COUNTIF(AQ16,"S")+COUNTIF(AS16,"I")+COUNTIF(AS16,"AA")+COUNTIF(AS16,"S")</f>
        <v>7</v>
      </c>
      <c r="K16" s="29">
        <f>IF(AND((COUNTIF(N16,"I")+COUNTIF(N16,"AA")+COUNTIF(N16,"S"))&gt;0,(COUNTIF(O16,"I")+COUNTIF(O16,"AA")+COUNTIF(O16,"S"))&gt;0),1,0)+IF(AND((COUNTIF(P16,"I")+COUNTIF(P16,"AA")+COUNTIF(P16,"S"))&gt;0,(COUNTIF(Q16,"I")+COUNTIF(Q16,"AA")+COUNTIF(Q16,"S"))&gt;0),1,0)+IF(AND((COUNTIF(R16,"I")+COUNTIF(R16,"AA")+COUNTIF(R16,"S"))&gt;0,(COUNTIF(S16,"I")+COUNTIF(S16,"AA")+COUNTIF(S16,"S"))&gt;0),1,0)+IF(AND((COUNTIF(T16,"I")+COUNTIF(T16,"AA")+COUNTIF(T16,"S"))&gt;0,(COUNTIF(U16,"I")+COUNTIF(U16,"AA")+COUNTIF(U16,"S"))&gt;0),1,0)+IF(AND((COUNTIF(V16,"I")+COUNTIF(V16,"AA")+COUNTIF(V16,"S"))&gt;0,(COUNTIF(W16,"I")+COUNTIF(W16,"AA")+COUNTIF(W16,"S"))&gt;0),1,0)+IF(AND((COUNTIF(Y16,"I")+COUNTIF(Y16,"AA")+COUNTIF(Y16,"S"))&gt;0,(COUNTIF(Z16,"I")+COUNTIF(Z16,"AA")+COUNTIF(Z16,"S"))&gt;0),1,0)+IF(AND((COUNTIF(AA16,"I")+COUNTIF(AA16,"AA")+COUNTIF(AA16,"S"))&gt;0,(COUNTIF(AB16,"I")+COUNTIF(AB16,"AA")+COUNTIF(AB16,"S"))&gt;0),1,0)+IF(AND((COUNTIF(AD16,"I")+COUNTIF(AD16,"AA")+COUNTIF(AD16,"S"))&gt;0,(COUNTIF(AE16,"I")+COUNTIF(AE16,"AA")+COUNTIF(AE16,"S"))&gt;0),1,0)+IF(AND((COUNTIF(AF16,"I")+COUNTIF(AF16,"AA")+COUNTIF(AF16,"S"))&gt;0,(COUNTIF(AG16,"I")+COUNTIF(AG16,"AA")+COUNTIF(AG16,"S"))&gt;0),1,0)+IF(AND((COUNTIF(AH16,"I")+COUNTIF(AH16,"AA")+COUNTIF(AH16,"S"))&gt;0,(COUNTIF(AI16,"I")+COUNTIF(AI16,"AA")+COUNTIF(AI16,"S"))&gt;0),1,0)+IF(AND((COUNTIF(AK16,"I")+COUNTIF(AK16,"AA")+COUNTIF(AK16,"S"))&gt;0,(COUNTIF(AL16,"I")+COUNTIF(AL16,"AA")+COUNTIF(AL16,"S"))&gt;0),1,0)+IF(AND((COUNTIF(AM16,"I")+COUNTIF(AM16,"AA")+COUNTIF(AM16,"S"))&gt;0,(COUNTIF(AN16,"I")+COUNTIF(AN16,"AA")+COUNTIF(AN16,"S"))&gt;0),1,0)+IF(AND((COUNTIF(AP16,"I")+COUNTIF(AP16,"AA")+COUNTIF(AP16,"S"))&gt;0,(COUNTIF(AQ16,"I")+COUNTIF(AQ16,"AA")+COUNTIF(AQ16,"S"))&gt;0),1,0)+IF(AND((COUNTIF(AR16,"I")+COUNTIF(AR16,"AA")+COUNTIF(AR16,"S"))&gt;0,(COUNTIF(AS16,"I")+COUNTIF(AS16,"AA")+COUNTIF(AS16,"S"))&gt;0),1,0)</f>
        <v>1</v>
      </c>
      <c r="L16" s="22"/>
      <c r="M16" s="24"/>
      <c r="N16" s="24"/>
      <c r="O16" s="24"/>
      <c r="P16" s="24"/>
      <c r="Q16" s="24" t="s">
        <v>283</v>
      </c>
      <c r="R16" s="24"/>
      <c r="S16" s="34" t="s">
        <v>285</v>
      </c>
      <c r="T16" s="34" t="s">
        <v>24</v>
      </c>
      <c r="U16" s="34" t="s">
        <v>24</v>
      </c>
      <c r="V16" s="34" t="s">
        <v>285</v>
      </c>
      <c r="W16" s="24"/>
      <c r="X16" s="34" t="s">
        <v>284</v>
      </c>
      <c r="Y16" s="24"/>
      <c r="Z16" s="24"/>
      <c r="AA16" s="24"/>
      <c r="AB16" s="34" t="s">
        <v>284</v>
      </c>
      <c r="AC16" s="24"/>
      <c r="AD16" s="24" t="s">
        <v>283</v>
      </c>
      <c r="AE16" s="24"/>
      <c r="AF16" s="24"/>
      <c r="AG16" s="34" t="s">
        <v>284</v>
      </c>
      <c r="AH16" s="34" t="s">
        <v>24</v>
      </c>
      <c r="AI16" s="24"/>
      <c r="AJ16" s="24"/>
      <c r="AK16" s="34" t="s">
        <v>285</v>
      </c>
      <c r="AL16" s="24" t="s">
        <v>283</v>
      </c>
      <c r="AM16" s="24"/>
      <c r="AN16" s="34" t="s">
        <v>285</v>
      </c>
      <c r="AO16" s="34" t="s">
        <v>285</v>
      </c>
      <c r="AP16" s="24"/>
      <c r="AQ16" s="24"/>
      <c r="AR16" s="34" t="s">
        <v>24</v>
      </c>
      <c r="AS16" s="24"/>
      <c r="AT16" s="24"/>
    </row>
    <row r="17" spans="1:46" x14ac:dyDescent="0.3">
      <c r="A17" s="4" t="s">
        <v>234</v>
      </c>
      <c r="B17" s="4" t="s">
        <v>29</v>
      </c>
      <c r="C17" s="4"/>
      <c r="D17" s="29">
        <f>COUNTIF(M17:AT17,"I")</f>
        <v>5</v>
      </c>
      <c r="E17" s="29">
        <f>COUNTIF(M17:AT17,"AA")</f>
        <v>4</v>
      </c>
      <c r="F17" s="29">
        <f>D17+E17</f>
        <v>9</v>
      </c>
      <c r="G17" s="29">
        <f>COUNTIF(M17:AT17,"S")</f>
        <v>2</v>
      </c>
      <c r="H17" s="29">
        <f>IF(M17="I",180,0)+IF(N17="I",90,0)+IF(O17="I",180,0)+IF(P17="I",180,0)+IF(Q17="I",180,0)+IF(R17="I",90,0)+IF(S17="I",180,0)+IF(T17="I",105,0)+IF(U17="I",180,0)+IF(V17="I",180,0)+IF(W17="I",120,0)+IF(X17="I",120,0)+IF(Y17="I",180,0)+IF(Z17="I",180,0)+IF(AA17="I",120,0)+IF(AB17="I",180,0)+IF(AC17="I",120,0)+IF(AD17="I",150,0)+IF(AE17="I",180,0)+IF(AF17="I",180,0)+IF(AG17="I",120,0)+IF(AH17="I",120,0)+IF(AI17="I",180,0)+IF(AJ17="I",120,0)+IF(AK17="I",180,0)+IF(AL17="I",150,0)+IF(AM17="I",180,0)+IF(AN17="I",60,0)+IF(AO17="I",180,0)+IF(AP17="I",180,0)+IF(AQ17="I",180,0)+IF(AR17="I",195,0)+IF(AS17="I",60,0)+IF(AT17="I",60,0)+IF(M17="AA",225,0)+IF(N17="AA",115,0)+IF(O17="AA",225,0)+IF(P17="AA",225,0)+IF(Q17="AA",225,0)+IF(R17="AA",115,0)+IF(S17="AA",225,0)+IF(T17="AA",135,0)+IF(U17="AA",225,0)+IF(V17="AA",225,0)+IF(W17="AA",150,0)+IF(X17="AA",150,0)+IF(Y17="AA",225,0)+IF(Z17="AA",225,0)+IF(AA17="AA",150,0)+IF(AB17="AA",225,0)+IF(AC17="AA",150,0)+IF(AD17="AA",190,0)+IF(AE17="AA",225,0)+IF(AF17="AA",225,0)+IF(AG17="AA",150,0)+IF(AH17="AA",150,0)+IF(AI17="AA",225,0)+IF(AJ17="AA",150,0)+IF(AK17="AA",225,0)+IF(AL17="AA",190,0)+IF(AM17="AA",225,0)+IF(AN17="AA",75,0)+IF(AO17="AA",225,0)+IF(AP17="AA",225,0)+IF(AQ17="AA",225,0)+IF(AR17="AA",245,0)+IF(AS17="AA",75,0)+IF(AT17="AA",75,0)</f>
        <v>1590</v>
      </c>
      <c r="I17" s="29">
        <f>COUNTIF(M17,"I")+COUNTIF(M17,"AA")+COUNTIF(M17,"S")+COUNTIF(N17,"I")+COUNTIF(N17,"AA")+COUNTIF(N17,"S")+COUNTIF(P17,"I")+COUNTIF(P17,"AA")+COUNTIF(P17,"S")+COUNTIF(R17,"I")+COUNTIF(R17,"AA")+COUNTIF(R17,"S")+COUNTIF(T17,"I")+COUNTIF(T17,"AA")+COUNTIF(T17,"S")+COUNTIF(V17,"I")+COUNTIF(V17,"AA")+COUNTIF(V17,"S")+COUNTIF(Y17,"I")+COUNTIF(Y17,"AA")+COUNTIF(Y17,"S")+COUNTIF(AA17,"I")+COUNTIF(AA17,"AA")+COUNTIF(AA17,"S")+COUNTIF(AC17,"I")+COUNTIF(AC17,"AA")+COUNTIF(AC17,"S")+COUNTIF(AD17,"I")+COUNTIF(AD17,"AA")+COUNTIF(AD17,"S")+COUNTIF(AF17,"I")+COUNTIF(AF17,"AA")+COUNTIF(AF17,"S")+COUNTIF(AH17,"I")+COUNTIF(AH17,"AA")+COUNTIF(AH17,"S")+COUNTIF(AK17,"I")+COUNTIF(AK17,"AA")+COUNTIF(AK17,"S")+COUNTIF(AM17,"I")+COUNTIF(AM17,"AA")+COUNTIF(AM17,"S")+COUNTIF(AP17,"I")+COUNTIF(AP17,"AA")+COUNTIF(AP17,"S")+COUNTIF(AR17,"I")+COUNTIF(AR17,"AA")+COUNTIF(AR17,"S")+COUNTIF(AT17,"I")+COUNTIF(AT17,"AA")+COUNTIF(AT17,"S")</f>
        <v>5</v>
      </c>
      <c r="J17" s="29">
        <f>COUNTIF(O17,"I")+COUNTIF(O17,"AA")+COUNTIF(O17,"S")+COUNTIF(Q17,"I")+COUNTIF(Q17,"AA")+COUNTIF(Q17,"S")+COUNTIF(S17,"I")+COUNTIF(S17,"AA")+COUNTIF(S17,"S")+COUNTIF(U17,"I")+COUNTIF(U17,"AA")+COUNTIF(U17,"S")+COUNTIF(W17,"I")+COUNTIF(W17,"AA")+COUNTIF(W17,"S")+COUNTIF(X17,"I")+COUNTIF(X17,"AA")+COUNTIF(X17,"S")+COUNTIF(Z17,"I")+COUNTIF(Z17,"AA")+COUNTIF(Z17,"S")+COUNTIF(AB17,"I")+COUNTIF(AB17,"AA")+COUNTIF(AB17,"S")+COUNTIF(AE17,"I")+COUNTIF(AE17,"AA")+COUNTIF(AE17,"S")+COUNTIF(AG17,"I")+COUNTIF(AG17,"AA")+COUNTIF(AG17,"S")+COUNTIF(AI17,"I")+COUNTIF(AI17,"AA")+COUNTIF(AI17,"S")+COUNTIF(AJ17,"I")+COUNTIF(AJ17,"AA")+COUNTIF(AJ17,"S")+COUNTIF(AL17,"I")+COUNTIF(AL17,"AA")+COUNTIF(AL17,"S")+COUNTIF(AN17,"I")+COUNTIF(AN17,"AA")+COUNTIF(AN17,"S")+COUNTIF(AO17,"I")+COUNTIF(AO17,"AA")+COUNTIF(AO17,"S")+COUNTIF(AQ17,"I")+COUNTIF(AQ17,"AA")+COUNTIF(AQ17,"S")+COUNTIF(AS17,"I")+COUNTIF(AS17,"AA")+COUNTIF(AS17,"S")</f>
        <v>6</v>
      </c>
      <c r="K17" s="29">
        <f>IF(AND((COUNTIF(N17,"I")+COUNTIF(N17,"AA")+COUNTIF(N17,"S"))&gt;0,(COUNTIF(O17,"I")+COUNTIF(O17,"AA")+COUNTIF(O17,"S"))&gt;0),1,0)+IF(AND((COUNTIF(P17,"I")+COUNTIF(P17,"AA")+COUNTIF(P17,"S"))&gt;0,(COUNTIF(Q17,"I")+COUNTIF(Q17,"AA")+COUNTIF(Q17,"S"))&gt;0),1,0)+IF(AND((COUNTIF(R17,"I")+COUNTIF(R17,"AA")+COUNTIF(R17,"S"))&gt;0,(COUNTIF(S17,"I")+COUNTIF(S17,"AA")+COUNTIF(S17,"S"))&gt;0),1,0)+IF(AND((COUNTIF(T17,"I")+COUNTIF(T17,"AA")+COUNTIF(T17,"S"))&gt;0,(COUNTIF(U17,"I")+COUNTIF(U17,"AA")+COUNTIF(U17,"S"))&gt;0),1,0)+IF(AND((COUNTIF(V17,"I")+COUNTIF(V17,"AA")+COUNTIF(V17,"S"))&gt;0,(COUNTIF(W17,"I")+COUNTIF(W17,"AA")+COUNTIF(W17,"S"))&gt;0),1,0)+IF(AND((COUNTIF(Y17,"I")+COUNTIF(Y17,"AA")+COUNTIF(Y17,"S"))&gt;0,(COUNTIF(Z17,"I")+COUNTIF(Z17,"AA")+COUNTIF(Z17,"S"))&gt;0),1,0)+IF(AND((COUNTIF(AA17,"I")+COUNTIF(AA17,"AA")+COUNTIF(AA17,"S"))&gt;0,(COUNTIF(AB17,"I")+COUNTIF(AB17,"AA")+COUNTIF(AB17,"S"))&gt;0),1,0)+IF(AND((COUNTIF(AD17,"I")+COUNTIF(AD17,"AA")+COUNTIF(AD17,"S"))&gt;0,(COUNTIF(AE17,"I")+COUNTIF(AE17,"AA")+COUNTIF(AE17,"S"))&gt;0),1,0)+IF(AND((COUNTIF(AF17,"I")+COUNTIF(AF17,"AA")+COUNTIF(AF17,"S"))&gt;0,(COUNTIF(AG17,"I")+COUNTIF(AG17,"AA")+COUNTIF(AG17,"S"))&gt;0),1,0)+IF(AND((COUNTIF(AH17,"I")+COUNTIF(AH17,"AA")+COUNTIF(AH17,"S"))&gt;0,(COUNTIF(AI17,"I")+COUNTIF(AI17,"AA")+COUNTIF(AI17,"S"))&gt;0),1,0)+IF(AND((COUNTIF(AK17,"I")+COUNTIF(AK17,"AA")+COUNTIF(AK17,"S"))&gt;0,(COUNTIF(AL17,"I")+COUNTIF(AL17,"AA")+COUNTIF(AL17,"S"))&gt;0),1,0)+IF(AND((COUNTIF(AM17,"I")+COUNTIF(AM17,"AA")+COUNTIF(AM17,"S"))&gt;0,(COUNTIF(AN17,"I")+COUNTIF(AN17,"AA")+COUNTIF(AN17,"S"))&gt;0),1,0)+IF(AND((COUNTIF(AP17,"I")+COUNTIF(AP17,"AA")+COUNTIF(AP17,"S"))&gt;0,(COUNTIF(AQ17,"I")+COUNTIF(AQ17,"AA")+COUNTIF(AQ17,"S"))&gt;0),1,0)+IF(AND((COUNTIF(AR17,"I")+COUNTIF(AR17,"AA")+COUNTIF(AR17,"S"))&gt;0,(COUNTIF(AS17,"I")+COUNTIF(AS17,"AA")+COUNTIF(AS17,"S"))&gt;0),1,0)</f>
        <v>0</v>
      </c>
      <c r="L17" s="22"/>
      <c r="M17" s="24"/>
      <c r="N17" s="24"/>
      <c r="O17" s="34" t="s">
        <v>285</v>
      </c>
      <c r="P17" s="34" t="s">
        <v>24</v>
      </c>
      <c r="Q17" s="24"/>
      <c r="R17" s="34" t="s">
        <v>285</v>
      </c>
      <c r="S17" s="24"/>
      <c r="T17" s="24"/>
      <c r="U17" s="34" t="s">
        <v>24</v>
      </c>
      <c r="V17" s="34" t="s">
        <v>24</v>
      </c>
      <c r="W17" s="24"/>
      <c r="X17" s="24"/>
      <c r="Y17" s="24"/>
      <c r="Z17" s="24"/>
      <c r="AA17" s="24"/>
      <c r="AB17" s="34" t="s">
        <v>284</v>
      </c>
      <c r="AC17" s="24"/>
      <c r="AD17" s="24"/>
      <c r="AE17" s="24"/>
      <c r="AF17" s="34" t="s">
        <v>285</v>
      </c>
      <c r="AG17" s="24"/>
      <c r="AH17" s="24" t="s">
        <v>283</v>
      </c>
      <c r="AI17" s="34" t="s">
        <v>284</v>
      </c>
      <c r="AJ17" s="24"/>
      <c r="AK17" s="34" t="s">
        <v>24</v>
      </c>
      <c r="AL17" s="24"/>
      <c r="AM17" s="24"/>
      <c r="AN17" s="34" t="s">
        <v>285</v>
      </c>
      <c r="AO17" s="34" t="s">
        <v>285</v>
      </c>
      <c r="AP17" s="24"/>
      <c r="AQ17" s="24"/>
      <c r="AR17" s="24"/>
      <c r="AS17" s="24" t="s">
        <v>283</v>
      </c>
      <c r="AT17" s="24"/>
    </row>
    <row r="18" spans="1:46" x14ac:dyDescent="0.3">
      <c r="A18" s="4" t="s">
        <v>235</v>
      </c>
      <c r="B18" s="4" t="s">
        <v>29</v>
      </c>
      <c r="C18" s="4"/>
      <c r="D18" s="29">
        <f>COUNTIF(M18:AT18,"I")</f>
        <v>4</v>
      </c>
      <c r="E18" s="29">
        <f>COUNTIF(M18:AT18,"AA")</f>
        <v>4</v>
      </c>
      <c r="F18" s="29">
        <f>D18+E18</f>
        <v>8</v>
      </c>
      <c r="G18" s="29">
        <f>COUNTIF(M18:AT18,"S")</f>
        <v>2</v>
      </c>
      <c r="H18" s="29">
        <f>IF(M18="I",180,0)+IF(N18="I",90,0)+IF(O18="I",180,0)+IF(P18="I",180,0)+IF(Q18="I",180,0)+IF(R18="I",90,0)+IF(S18="I",180,0)+IF(T18="I",105,0)+IF(U18="I",180,0)+IF(V18="I",180,0)+IF(W18="I",120,0)+IF(X18="I",120,0)+IF(Y18="I",180,0)+IF(Z18="I",180,0)+IF(AA18="I",120,0)+IF(AB18="I",180,0)+IF(AC18="I",120,0)+IF(AD18="I",150,0)+IF(AE18="I",180,0)+IF(AF18="I",180,0)+IF(AG18="I",120,0)+IF(AH18="I",120,0)+IF(AI18="I",180,0)+IF(AJ18="I",120,0)+IF(AK18="I",180,0)+IF(AL18="I",150,0)+IF(AM18="I",180,0)+IF(AN18="I",60,0)+IF(AO18="I",180,0)+IF(AP18="I",180,0)+IF(AQ18="I",180,0)+IF(AR18="I",195,0)+IF(AS18="I",60,0)+IF(AT18="I",60,0)+IF(M18="AA",225,0)+IF(N18="AA",115,0)+IF(O18="AA",225,0)+IF(P18="AA",225,0)+IF(Q18="AA",225,0)+IF(R18="AA",115,0)+IF(S18="AA",225,0)+IF(T18="AA",135,0)+IF(U18="AA",225,0)+IF(V18="AA",225,0)+IF(W18="AA",150,0)+IF(X18="AA",150,0)+IF(Y18="AA",225,0)+IF(Z18="AA",225,0)+IF(AA18="AA",150,0)+IF(AB18="AA",225,0)+IF(AC18="AA",150,0)+IF(AD18="AA",190,0)+IF(AE18="AA",225,0)+IF(AF18="AA",225,0)+IF(AG18="AA",150,0)+IF(AH18="AA",150,0)+IF(AI18="AA",225,0)+IF(AJ18="AA",150,0)+IF(AK18="AA",225,0)+IF(AL18="AA",190,0)+IF(AM18="AA",225,0)+IF(AN18="AA",75,0)+IF(AO18="AA",225,0)+IF(AP18="AA",225,0)+IF(AQ18="AA",225,0)+IF(AR18="AA",245,0)+IF(AS18="AA",75,0)+IF(AT18="AA",75,0)</f>
        <v>1335</v>
      </c>
      <c r="I18" s="29">
        <f>COUNTIF(M18,"I")+COUNTIF(M18,"AA")+COUNTIF(M18,"S")+COUNTIF(N18,"I")+COUNTIF(N18,"AA")+COUNTIF(N18,"S")+COUNTIF(P18,"I")+COUNTIF(P18,"AA")+COUNTIF(P18,"S")+COUNTIF(R18,"I")+COUNTIF(R18,"AA")+COUNTIF(R18,"S")+COUNTIF(T18,"I")+COUNTIF(T18,"AA")+COUNTIF(T18,"S")+COUNTIF(V18,"I")+COUNTIF(V18,"AA")+COUNTIF(V18,"S")+COUNTIF(Y18,"I")+COUNTIF(Y18,"AA")+COUNTIF(Y18,"S")+COUNTIF(AA18,"I")+COUNTIF(AA18,"AA")+COUNTIF(AA18,"S")+COUNTIF(AC18,"I")+COUNTIF(AC18,"AA")+COUNTIF(AC18,"S")+COUNTIF(AD18,"I")+COUNTIF(AD18,"AA")+COUNTIF(AD18,"S")+COUNTIF(AF18,"I")+COUNTIF(AF18,"AA")+COUNTIF(AF18,"S")+COUNTIF(AH18,"I")+COUNTIF(AH18,"AA")+COUNTIF(AH18,"S")+COUNTIF(AK18,"I")+COUNTIF(AK18,"AA")+COUNTIF(AK18,"S")+COUNTIF(AM18,"I")+COUNTIF(AM18,"AA")+COUNTIF(AM18,"S")+COUNTIF(AP18,"I")+COUNTIF(AP18,"AA")+COUNTIF(AP18,"S")+COUNTIF(AR18,"I")+COUNTIF(AR18,"AA")+COUNTIF(AR18,"S")+COUNTIF(AT18,"I")+COUNTIF(AT18,"AA")+COUNTIF(AT18,"S")</f>
        <v>4</v>
      </c>
      <c r="J18" s="29">
        <f>COUNTIF(O18,"I")+COUNTIF(O18,"AA")+COUNTIF(O18,"S")+COUNTIF(Q18,"I")+COUNTIF(Q18,"AA")+COUNTIF(Q18,"S")+COUNTIF(S18,"I")+COUNTIF(S18,"AA")+COUNTIF(S18,"S")+COUNTIF(U18,"I")+COUNTIF(U18,"AA")+COUNTIF(U18,"S")+COUNTIF(W18,"I")+COUNTIF(W18,"AA")+COUNTIF(W18,"S")+COUNTIF(X18,"I")+COUNTIF(X18,"AA")+COUNTIF(X18,"S")+COUNTIF(Z18,"I")+COUNTIF(Z18,"AA")+COUNTIF(Z18,"S")+COUNTIF(AB18,"I")+COUNTIF(AB18,"AA")+COUNTIF(AB18,"S")+COUNTIF(AE18,"I")+COUNTIF(AE18,"AA")+COUNTIF(AE18,"S")+COUNTIF(AG18,"I")+COUNTIF(AG18,"AA")+COUNTIF(AG18,"S")+COUNTIF(AI18,"I")+COUNTIF(AI18,"AA")+COUNTIF(AI18,"S")+COUNTIF(AJ18,"I")+COUNTIF(AJ18,"AA")+COUNTIF(AJ18,"S")+COUNTIF(AL18,"I")+COUNTIF(AL18,"AA")+COUNTIF(AL18,"S")+COUNTIF(AN18,"I")+COUNTIF(AN18,"AA")+COUNTIF(AN18,"S")+COUNTIF(AO18,"I")+COUNTIF(AO18,"AA")+COUNTIF(AO18,"S")+COUNTIF(AQ18,"I")+COUNTIF(AQ18,"AA")+COUNTIF(AQ18,"S")+COUNTIF(AS18,"I")+COUNTIF(AS18,"AA")+COUNTIF(AS18,"S")</f>
        <v>6</v>
      </c>
      <c r="K18" s="29">
        <f>IF(AND((COUNTIF(N18,"I")+COUNTIF(N18,"AA")+COUNTIF(N18,"S"))&gt;0,(COUNTIF(O18,"I")+COUNTIF(O18,"AA")+COUNTIF(O18,"S"))&gt;0),1,0)+IF(AND((COUNTIF(P18,"I")+COUNTIF(P18,"AA")+COUNTIF(P18,"S"))&gt;0,(COUNTIF(Q18,"I")+COUNTIF(Q18,"AA")+COUNTIF(Q18,"S"))&gt;0),1,0)+IF(AND((COUNTIF(R18,"I")+COUNTIF(R18,"AA")+COUNTIF(R18,"S"))&gt;0,(COUNTIF(S18,"I")+COUNTIF(S18,"AA")+COUNTIF(S18,"S"))&gt;0),1,0)+IF(AND((COUNTIF(T18,"I")+COUNTIF(T18,"AA")+COUNTIF(T18,"S"))&gt;0,(COUNTIF(U18,"I")+COUNTIF(U18,"AA")+COUNTIF(U18,"S"))&gt;0),1,0)+IF(AND((COUNTIF(V18,"I")+COUNTIF(V18,"AA")+COUNTIF(V18,"S"))&gt;0,(COUNTIF(W18,"I")+COUNTIF(W18,"AA")+COUNTIF(W18,"S"))&gt;0),1,0)+IF(AND((COUNTIF(Y18,"I")+COUNTIF(Y18,"AA")+COUNTIF(Y18,"S"))&gt;0,(COUNTIF(Z18,"I")+COUNTIF(Z18,"AA")+COUNTIF(Z18,"S"))&gt;0),1,0)+IF(AND((COUNTIF(AA18,"I")+COUNTIF(AA18,"AA")+COUNTIF(AA18,"S"))&gt;0,(COUNTIF(AB18,"I")+COUNTIF(AB18,"AA")+COUNTIF(AB18,"S"))&gt;0),1,0)+IF(AND((COUNTIF(AD18,"I")+COUNTIF(AD18,"AA")+COUNTIF(AD18,"S"))&gt;0,(COUNTIF(AE18,"I")+COUNTIF(AE18,"AA")+COUNTIF(AE18,"S"))&gt;0),1,0)+IF(AND((COUNTIF(AF18,"I")+COUNTIF(AF18,"AA")+COUNTIF(AF18,"S"))&gt;0,(COUNTIF(AG18,"I")+COUNTIF(AG18,"AA")+COUNTIF(AG18,"S"))&gt;0),1,0)+IF(AND((COUNTIF(AH18,"I")+COUNTIF(AH18,"AA")+COUNTIF(AH18,"S"))&gt;0,(COUNTIF(AI18,"I")+COUNTIF(AI18,"AA")+COUNTIF(AI18,"S"))&gt;0),1,0)+IF(AND((COUNTIF(AK18,"I")+COUNTIF(AK18,"AA")+COUNTIF(AK18,"S"))&gt;0,(COUNTIF(AL18,"I")+COUNTIF(AL18,"AA")+COUNTIF(AL18,"S"))&gt;0),1,0)+IF(AND((COUNTIF(AM18,"I")+COUNTIF(AM18,"AA")+COUNTIF(AM18,"S"))&gt;0,(COUNTIF(AN18,"I")+COUNTIF(AN18,"AA")+COUNTIF(AN18,"S"))&gt;0),1,0)+IF(AND((COUNTIF(AP18,"I")+COUNTIF(AP18,"AA")+COUNTIF(AP18,"S"))&gt;0,(COUNTIF(AQ18,"I")+COUNTIF(AQ18,"AA")+COUNTIF(AQ18,"S"))&gt;0),1,0)+IF(AND((COUNTIF(AR18,"I")+COUNTIF(AR18,"AA")+COUNTIF(AR18,"S"))&gt;0,(COUNTIF(AS18,"I")+COUNTIF(AS18,"AA")+COUNTIF(AS18,"S"))&gt;0),1,0)</f>
        <v>1</v>
      </c>
      <c r="L18" s="22"/>
      <c r="M18" s="24"/>
      <c r="N18" s="34" t="s">
        <v>284</v>
      </c>
      <c r="O18" s="24"/>
      <c r="P18" s="24"/>
      <c r="Q18" s="24"/>
      <c r="R18" s="24"/>
      <c r="S18" s="34" t="s">
        <v>284</v>
      </c>
      <c r="T18" s="34" t="s">
        <v>24</v>
      </c>
      <c r="U18" s="34" t="s">
        <v>285</v>
      </c>
      <c r="V18" s="34" t="s">
        <v>285</v>
      </c>
      <c r="W18" s="24"/>
      <c r="X18" s="24"/>
      <c r="Y18" s="24"/>
      <c r="Z18" s="24"/>
      <c r="AA18" s="24"/>
      <c r="AB18" s="34" t="s">
        <v>24</v>
      </c>
      <c r="AC18" s="24"/>
      <c r="AD18" s="24"/>
      <c r="AE18" s="24"/>
      <c r="AF18" s="24"/>
      <c r="AG18" s="34" t="s">
        <v>24</v>
      </c>
      <c r="AH18" s="24"/>
      <c r="AI18" s="34" t="s">
        <v>24</v>
      </c>
      <c r="AJ18" s="24"/>
      <c r="AK18" s="34" t="s">
        <v>285</v>
      </c>
      <c r="AL18" s="24"/>
      <c r="AM18" s="24" t="s">
        <v>283</v>
      </c>
      <c r="AN18" s="24"/>
      <c r="AO18" s="24"/>
      <c r="AP18" s="24"/>
      <c r="AQ18" s="24"/>
      <c r="AR18" s="24"/>
      <c r="AS18" s="34" t="s">
        <v>285</v>
      </c>
      <c r="AT18" s="24"/>
    </row>
    <row r="19" spans="1:46" x14ac:dyDescent="0.3">
      <c r="A19" s="4" t="s">
        <v>236</v>
      </c>
      <c r="B19" s="4" t="s">
        <v>29</v>
      </c>
      <c r="C19" s="4"/>
      <c r="D19" s="29">
        <f>COUNTIF(M19:AT19,"I")</f>
        <v>4</v>
      </c>
      <c r="E19" s="29">
        <f>COUNTIF(M19:AT19,"AA")</f>
        <v>4</v>
      </c>
      <c r="F19" s="29">
        <f>D19+E19</f>
        <v>8</v>
      </c>
      <c r="G19" s="29">
        <f>COUNTIF(M19:AT19,"S")</f>
        <v>2</v>
      </c>
      <c r="H19" s="29">
        <f>IF(M19="I",180,0)+IF(N19="I",90,0)+IF(O19="I",180,0)+IF(P19="I",180,0)+IF(Q19="I",180,0)+IF(R19="I",90,0)+IF(S19="I",180,0)+IF(T19="I",105,0)+IF(U19="I",180,0)+IF(V19="I",180,0)+IF(W19="I",120,0)+IF(X19="I",120,0)+IF(Y19="I",180,0)+IF(Z19="I",180,0)+IF(AA19="I",120,0)+IF(AB19="I",180,0)+IF(AC19="I",120,0)+IF(AD19="I",150,0)+IF(AE19="I",180,0)+IF(AF19="I",180,0)+IF(AG19="I",120,0)+IF(AH19="I",120,0)+IF(AI19="I",180,0)+IF(AJ19="I",120,0)+IF(AK19="I",180,0)+IF(AL19="I",150,0)+IF(AM19="I",180,0)+IF(AN19="I",60,0)+IF(AO19="I",180,0)+IF(AP19="I",180,0)+IF(AQ19="I",180,0)+IF(AR19="I",195,0)+IF(AS19="I",60,0)+IF(AT19="I",60,0)+IF(M19="AA",225,0)+IF(N19="AA",115,0)+IF(O19="AA",225,0)+IF(P19="AA",225,0)+IF(Q19="AA",225,0)+IF(R19="AA",115,0)+IF(S19="AA",225,0)+IF(T19="AA",135,0)+IF(U19="AA",225,0)+IF(V19="AA",225,0)+IF(W19="AA",150,0)+IF(X19="AA",150,0)+IF(Y19="AA",225,0)+IF(Z19="AA",225,0)+IF(AA19="AA",150,0)+IF(AB19="AA",225,0)+IF(AC19="AA",150,0)+IF(AD19="AA",190,0)+IF(AE19="AA",225,0)+IF(AF19="AA",225,0)+IF(AG19="AA",150,0)+IF(AH19="AA",150,0)+IF(AI19="AA",225,0)+IF(AJ19="AA",150,0)+IF(AK19="AA",225,0)+IF(AL19="AA",190,0)+IF(AM19="AA",225,0)+IF(AN19="AA",75,0)+IF(AO19="AA",225,0)+IF(AP19="AA",225,0)+IF(AQ19="AA",225,0)+IF(AR19="AA",245,0)+IF(AS19="AA",75,0)+IF(AT19="AA",75,0)</f>
        <v>1300</v>
      </c>
      <c r="I19" s="29">
        <f>COUNTIF(M19,"I")+COUNTIF(M19,"AA")+COUNTIF(M19,"S")+COUNTIF(N19,"I")+COUNTIF(N19,"AA")+COUNTIF(N19,"S")+COUNTIF(P19,"I")+COUNTIF(P19,"AA")+COUNTIF(P19,"S")+COUNTIF(R19,"I")+COUNTIF(R19,"AA")+COUNTIF(R19,"S")+COUNTIF(T19,"I")+COUNTIF(T19,"AA")+COUNTIF(T19,"S")+COUNTIF(V19,"I")+COUNTIF(V19,"AA")+COUNTIF(V19,"S")+COUNTIF(Y19,"I")+COUNTIF(Y19,"AA")+COUNTIF(Y19,"S")+COUNTIF(AA19,"I")+COUNTIF(AA19,"AA")+COUNTIF(AA19,"S")+COUNTIF(AC19,"I")+COUNTIF(AC19,"AA")+COUNTIF(AC19,"S")+COUNTIF(AD19,"I")+COUNTIF(AD19,"AA")+COUNTIF(AD19,"S")+COUNTIF(AF19,"I")+COUNTIF(AF19,"AA")+COUNTIF(AF19,"S")+COUNTIF(AH19,"I")+COUNTIF(AH19,"AA")+COUNTIF(AH19,"S")+COUNTIF(AK19,"I")+COUNTIF(AK19,"AA")+COUNTIF(AK19,"S")+COUNTIF(AM19,"I")+COUNTIF(AM19,"AA")+COUNTIF(AM19,"S")+COUNTIF(AP19,"I")+COUNTIF(AP19,"AA")+COUNTIF(AP19,"S")+COUNTIF(AR19,"I")+COUNTIF(AR19,"AA")+COUNTIF(AR19,"S")+COUNTIF(AT19,"I")+COUNTIF(AT19,"AA")+COUNTIF(AT19,"S")</f>
        <v>5</v>
      </c>
      <c r="J19" s="29">
        <f>COUNTIF(O19,"I")+COUNTIF(O19,"AA")+COUNTIF(O19,"S")+COUNTIF(Q19,"I")+COUNTIF(Q19,"AA")+COUNTIF(Q19,"S")+COUNTIF(S19,"I")+COUNTIF(S19,"AA")+COUNTIF(S19,"S")+COUNTIF(U19,"I")+COUNTIF(U19,"AA")+COUNTIF(U19,"S")+COUNTIF(W19,"I")+COUNTIF(W19,"AA")+COUNTIF(W19,"S")+COUNTIF(X19,"I")+COUNTIF(X19,"AA")+COUNTIF(X19,"S")+COUNTIF(Z19,"I")+COUNTIF(Z19,"AA")+COUNTIF(Z19,"S")+COUNTIF(AB19,"I")+COUNTIF(AB19,"AA")+COUNTIF(AB19,"S")+COUNTIF(AE19,"I")+COUNTIF(AE19,"AA")+COUNTIF(AE19,"S")+COUNTIF(AG19,"I")+COUNTIF(AG19,"AA")+COUNTIF(AG19,"S")+COUNTIF(AI19,"I")+COUNTIF(AI19,"AA")+COUNTIF(AI19,"S")+COUNTIF(AJ19,"I")+COUNTIF(AJ19,"AA")+COUNTIF(AJ19,"S")+COUNTIF(AL19,"I")+COUNTIF(AL19,"AA")+COUNTIF(AL19,"S")+COUNTIF(AN19,"I")+COUNTIF(AN19,"AA")+COUNTIF(AN19,"S")+COUNTIF(AO19,"I")+COUNTIF(AO19,"AA")+COUNTIF(AO19,"S")+COUNTIF(AQ19,"I")+COUNTIF(AQ19,"AA")+COUNTIF(AQ19,"S")+COUNTIF(AS19,"I")+COUNTIF(AS19,"AA")+COUNTIF(AS19,"S")</f>
        <v>5</v>
      </c>
      <c r="K19" s="29">
        <f>IF(AND((COUNTIF(N19,"I")+COUNTIF(N19,"AA")+COUNTIF(N19,"S"))&gt;0,(COUNTIF(O19,"I")+COUNTIF(O19,"AA")+COUNTIF(O19,"S"))&gt;0),1,0)+IF(AND((COUNTIF(P19,"I")+COUNTIF(P19,"AA")+COUNTIF(P19,"S"))&gt;0,(COUNTIF(Q19,"I")+COUNTIF(Q19,"AA")+COUNTIF(Q19,"S"))&gt;0),1,0)+IF(AND((COUNTIF(R19,"I")+COUNTIF(R19,"AA")+COUNTIF(R19,"S"))&gt;0,(COUNTIF(S19,"I")+COUNTIF(S19,"AA")+COUNTIF(S19,"S"))&gt;0),1,0)+IF(AND((COUNTIF(T19,"I")+COUNTIF(T19,"AA")+COUNTIF(T19,"S"))&gt;0,(COUNTIF(U19,"I")+COUNTIF(U19,"AA")+COUNTIF(U19,"S"))&gt;0),1,0)+IF(AND((COUNTIF(V19,"I")+COUNTIF(V19,"AA")+COUNTIF(V19,"S"))&gt;0,(COUNTIF(W19,"I")+COUNTIF(W19,"AA")+COUNTIF(W19,"S"))&gt;0),1,0)+IF(AND((COUNTIF(Y19,"I")+COUNTIF(Y19,"AA")+COUNTIF(Y19,"S"))&gt;0,(COUNTIF(Z19,"I")+COUNTIF(Z19,"AA")+COUNTIF(Z19,"S"))&gt;0),1,0)+IF(AND((COUNTIF(AA19,"I")+COUNTIF(AA19,"AA")+COUNTIF(AA19,"S"))&gt;0,(COUNTIF(AB19,"I")+COUNTIF(AB19,"AA")+COUNTIF(AB19,"S"))&gt;0),1,0)+IF(AND((COUNTIF(AD19,"I")+COUNTIF(AD19,"AA")+COUNTIF(AD19,"S"))&gt;0,(COUNTIF(AE19,"I")+COUNTIF(AE19,"AA")+COUNTIF(AE19,"S"))&gt;0),1,0)+IF(AND((COUNTIF(AF19,"I")+COUNTIF(AF19,"AA")+COUNTIF(AF19,"S"))&gt;0,(COUNTIF(AG19,"I")+COUNTIF(AG19,"AA")+COUNTIF(AG19,"S"))&gt;0),1,0)+IF(AND((COUNTIF(AH19,"I")+COUNTIF(AH19,"AA")+COUNTIF(AH19,"S"))&gt;0,(COUNTIF(AI19,"I")+COUNTIF(AI19,"AA")+COUNTIF(AI19,"S"))&gt;0),1,0)+IF(AND((COUNTIF(AK19,"I")+COUNTIF(AK19,"AA")+COUNTIF(AK19,"S"))&gt;0,(COUNTIF(AL19,"I")+COUNTIF(AL19,"AA")+COUNTIF(AL19,"S"))&gt;0),1,0)+IF(AND((COUNTIF(AM19,"I")+COUNTIF(AM19,"AA")+COUNTIF(AM19,"S"))&gt;0,(COUNTIF(AN19,"I")+COUNTIF(AN19,"AA")+COUNTIF(AN19,"S"))&gt;0),1,0)+IF(AND((COUNTIF(AP19,"I")+COUNTIF(AP19,"AA")+COUNTIF(AP19,"S"))&gt;0,(COUNTIF(AQ19,"I")+COUNTIF(AQ19,"AA")+COUNTIF(AQ19,"S"))&gt;0),1,0)+IF(AND((COUNTIF(AR19,"I")+COUNTIF(AR19,"AA")+COUNTIF(AR19,"S"))&gt;0,(COUNTIF(AS19,"I")+COUNTIF(AS19,"AA")+COUNTIF(AS19,"S"))&gt;0),1,0)</f>
        <v>0</v>
      </c>
      <c r="L19" s="22"/>
      <c r="M19" s="24"/>
      <c r="N19" s="34" t="s">
        <v>24</v>
      </c>
      <c r="O19" s="24"/>
      <c r="P19" s="24"/>
      <c r="Q19" s="24"/>
      <c r="R19" s="24"/>
      <c r="S19" s="34" t="s">
        <v>285</v>
      </c>
      <c r="T19" s="34" t="s">
        <v>24</v>
      </c>
      <c r="U19" s="24"/>
      <c r="V19" s="24"/>
      <c r="W19" s="24"/>
      <c r="X19" s="24"/>
      <c r="Y19" s="24"/>
      <c r="Z19" s="24"/>
      <c r="AA19" s="24"/>
      <c r="AB19" s="34" t="s">
        <v>24</v>
      </c>
      <c r="AC19" s="24"/>
      <c r="AD19" s="24"/>
      <c r="AE19" s="34" t="s">
        <v>284</v>
      </c>
      <c r="AF19" s="24"/>
      <c r="AG19" s="24"/>
      <c r="AH19" s="34" t="s">
        <v>284</v>
      </c>
      <c r="AI19" s="24" t="s">
        <v>283</v>
      </c>
      <c r="AJ19" s="24"/>
      <c r="AK19" s="34" t="s">
        <v>285</v>
      </c>
      <c r="AL19" s="24"/>
      <c r="AM19" s="34" t="s">
        <v>285</v>
      </c>
      <c r="AN19" s="24"/>
      <c r="AO19" s="34" t="s">
        <v>24</v>
      </c>
      <c r="AP19" s="24" t="s">
        <v>283</v>
      </c>
      <c r="AQ19" s="24"/>
      <c r="AR19" s="24"/>
      <c r="AS19" s="34" t="s">
        <v>285</v>
      </c>
      <c r="AT19" s="24"/>
    </row>
    <row r="20" spans="1:46" x14ac:dyDescent="0.3">
      <c r="A20" s="4" t="s">
        <v>237</v>
      </c>
      <c r="B20" s="4" t="s">
        <v>61</v>
      </c>
      <c r="C20" s="4"/>
      <c r="D20" s="29">
        <f>COUNTIF(M20:AT20,"I")</f>
        <v>6</v>
      </c>
      <c r="E20" s="29">
        <f>COUNTIF(M20:AT20,"AA")</f>
        <v>3</v>
      </c>
      <c r="F20" s="29">
        <f>D20+E20</f>
        <v>9</v>
      </c>
      <c r="G20" s="29">
        <f>COUNTIF(M20:AT20,"S")</f>
        <v>2</v>
      </c>
      <c r="H20" s="29">
        <f>IF(M20="I",180,0)+IF(N20="I",90,0)+IF(O20="I",180,0)+IF(P20="I",180,0)+IF(Q20="I",180,0)+IF(R20="I",90,0)+IF(S20="I",180,0)+IF(T20="I",105,0)+IF(U20="I",180,0)+IF(V20="I",180,0)+IF(W20="I",120,0)+IF(X20="I",120,0)+IF(Y20="I",180,0)+IF(Z20="I",180,0)+IF(AA20="I",120,0)+IF(AB20="I",180,0)+IF(AC20="I",120,0)+IF(AD20="I",150,0)+IF(AE20="I",180,0)+IF(AF20="I",180,0)+IF(AG20="I",120,0)+IF(AH20="I",120,0)+IF(AI20="I",180,0)+IF(AJ20="I",120,0)+IF(AK20="I",180,0)+IF(AL20="I",150,0)+IF(AM20="I",180,0)+IF(AN20="I",60,0)+IF(AO20="I",180,0)+IF(AP20="I",180,0)+IF(AQ20="I",180,0)+IF(AR20="I",195,0)+IF(AS20="I",60,0)+IF(AT20="I",60,0)+IF(M20="AA",225,0)+IF(N20="AA",115,0)+IF(O20="AA",225,0)+IF(P20="AA",225,0)+IF(Q20="AA",225,0)+IF(R20="AA",115,0)+IF(S20="AA",225,0)+IF(T20="AA",135,0)+IF(U20="AA",225,0)+IF(V20="AA",225,0)+IF(W20="AA",150,0)+IF(X20="AA",150,0)+IF(Y20="AA",225,0)+IF(Z20="AA",225,0)+IF(AA20="AA",150,0)+IF(AB20="AA",225,0)+IF(AC20="AA",150,0)+IF(AD20="AA",190,0)+IF(AE20="AA",225,0)+IF(AF20="AA",225,0)+IF(AG20="AA",150,0)+IF(AH20="AA",150,0)+IF(AI20="AA",225,0)+IF(AJ20="AA",150,0)+IF(AK20="AA",225,0)+IF(AL20="AA",190,0)+IF(AM20="AA",225,0)+IF(AN20="AA",75,0)+IF(AO20="AA",225,0)+IF(AP20="AA",225,0)+IF(AQ20="AA",225,0)+IF(AR20="AA",245,0)+IF(AS20="AA",75,0)+IF(AT20="AA",75,0)</f>
        <v>1390</v>
      </c>
      <c r="I20" s="29">
        <f>COUNTIF(M20,"I")+COUNTIF(M20,"AA")+COUNTIF(M20,"S")+COUNTIF(N20,"I")+COUNTIF(N20,"AA")+COUNTIF(N20,"S")+COUNTIF(P20,"I")+COUNTIF(P20,"AA")+COUNTIF(P20,"S")+COUNTIF(R20,"I")+COUNTIF(R20,"AA")+COUNTIF(R20,"S")+COUNTIF(T20,"I")+COUNTIF(T20,"AA")+COUNTIF(T20,"S")+COUNTIF(V20,"I")+COUNTIF(V20,"AA")+COUNTIF(V20,"S")+COUNTIF(Y20,"I")+COUNTIF(Y20,"AA")+COUNTIF(Y20,"S")+COUNTIF(AA20,"I")+COUNTIF(AA20,"AA")+COUNTIF(AA20,"S")+COUNTIF(AC20,"I")+COUNTIF(AC20,"AA")+COUNTIF(AC20,"S")+COUNTIF(AD20,"I")+COUNTIF(AD20,"AA")+COUNTIF(AD20,"S")+COUNTIF(AF20,"I")+COUNTIF(AF20,"AA")+COUNTIF(AF20,"S")+COUNTIF(AH20,"I")+COUNTIF(AH20,"AA")+COUNTIF(AH20,"S")+COUNTIF(AK20,"I")+COUNTIF(AK20,"AA")+COUNTIF(AK20,"S")+COUNTIF(AM20,"I")+COUNTIF(AM20,"AA")+COUNTIF(AM20,"S")+COUNTIF(AP20,"I")+COUNTIF(AP20,"AA")+COUNTIF(AP20,"S")+COUNTIF(AR20,"I")+COUNTIF(AR20,"AA")+COUNTIF(AR20,"S")+COUNTIF(AT20,"I")+COUNTIF(AT20,"AA")+COUNTIF(AT20,"S")</f>
        <v>6</v>
      </c>
      <c r="J20" s="29">
        <f>COUNTIF(O20,"I")+COUNTIF(O20,"AA")+COUNTIF(O20,"S")+COUNTIF(Q20,"I")+COUNTIF(Q20,"AA")+COUNTIF(Q20,"S")+COUNTIF(S20,"I")+COUNTIF(S20,"AA")+COUNTIF(S20,"S")+COUNTIF(U20,"I")+COUNTIF(U20,"AA")+COUNTIF(U20,"S")+COUNTIF(W20,"I")+COUNTIF(W20,"AA")+COUNTIF(W20,"S")+COUNTIF(X20,"I")+COUNTIF(X20,"AA")+COUNTIF(X20,"S")+COUNTIF(Z20,"I")+COUNTIF(Z20,"AA")+COUNTIF(Z20,"S")+COUNTIF(AB20,"I")+COUNTIF(AB20,"AA")+COUNTIF(AB20,"S")+COUNTIF(AE20,"I")+COUNTIF(AE20,"AA")+COUNTIF(AE20,"S")+COUNTIF(AG20,"I")+COUNTIF(AG20,"AA")+COUNTIF(AG20,"S")+COUNTIF(AI20,"I")+COUNTIF(AI20,"AA")+COUNTIF(AI20,"S")+COUNTIF(AJ20,"I")+COUNTIF(AJ20,"AA")+COUNTIF(AJ20,"S")+COUNTIF(AL20,"I")+COUNTIF(AL20,"AA")+COUNTIF(AL20,"S")+COUNTIF(AN20,"I")+COUNTIF(AN20,"AA")+COUNTIF(AN20,"S")+COUNTIF(AO20,"I")+COUNTIF(AO20,"AA")+COUNTIF(AO20,"S")+COUNTIF(AQ20,"I")+COUNTIF(AQ20,"AA")+COUNTIF(AQ20,"S")+COUNTIF(AS20,"I")+COUNTIF(AS20,"AA")+COUNTIF(AS20,"S")</f>
        <v>5</v>
      </c>
      <c r="K20" s="29">
        <f>IF(AND((COUNTIF(N20,"I")+COUNTIF(N20,"AA")+COUNTIF(N20,"S"))&gt;0,(COUNTIF(O20,"I")+COUNTIF(O20,"AA")+COUNTIF(O20,"S"))&gt;0),1,0)+IF(AND((COUNTIF(P20,"I")+COUNTIF(P20,"AA")+COUNTIF(P20,"S"))&gt;0,(COUNTIF(Q20,"I")+COUNTIF(Q20,"AA")+COUNTIF(Q20,"S"))&gt;0),1,0)+IF(AND((COUNTIF(R20,"I")+COUNTIF(R20,"AA")+COUNTIF(R20,"S"))&gt;0,(COUNTIF(S20,"I")+COUNTIF(S20,"AA")+COUNTIF(S20,"S"))&gt;0),1,0)+IF(AND((COUNTIF(T20,"I")+COUNTIF(T20,"AA")+COUNTIF(T20,"S"))&gt;0,(COUNTIF(U20,"I")+COUNTIF(U20,"AA")+COUNTIF(U20,"S"))&gt;0),1,0)+IF(AND((COUNTIF(V20,"I")+COUNTIF(V20,"AA")+COUNTIF(V20,"S"))&gt;0,(COUNTIF(W20,"I")+COUNTIF(W20,"AA")+COUNTIF(W20,"S"))&gt;0),1,0)+IF(AND((COUNTIF(Y20,"I")+COUNTIF(Y20,"AA")+COUNTIF(Y20,"S"))&gt;0,(COUNTIF(Z20,"I")+COUNTIF(Z20,"AA")+COUNTIF(Z20,"S"))&gt;0),1,0)+IF(AND((COUNTIF(AA20,"I")+COUNTIF(AA20,"AA")+COUNTIF(AA20,"S"))&gt;0,(COUNTIF(AB20,"I")+COUNTIF(AB20,"AA")+COUNTIF(AB20,"S"))&gt;0),1,0)+IF(AND((COUNTIF(AD20,"I")+COUNTIF(AD20,"AA")+COUNTIF(AD20,"S"))&gt;0,(COUNTIF(AE20,"I")+COUNTIF(AE20,"AA")+COUNTIF(AE20,"S"))&gt;0),1,0)+IF(AND((COUNTIF(AF20,"I")+COUNTIF(AF20,"AA")+COUNTIF(AF20,"S"))&gt;0,(COUNTIF(AG20,"I")+COUNTIF(AG20,"AA")+COUNTIF(AG20,"S"))&gt;0),1,0)+IF(AND((COUNTIF(AH20,"I")+COUNTIF(AH20,"AA")+COUNTIF(AH20,"S"))&gt;0,(COUNTIF(AI20,"I")+COUNTIF(AI20,"AA")+COUNTIF(AI20,"S"))&gt;0),1,0)+IF(AND((COUNTIF(AK20,"I")+COUNTIF(AK20,"AA")+COUNTIF(AK20,"S"))&gt;0,(COUNTIF(AL20,"I")+COUNTIF(AL20,"AA")+COUNTIF(AL20,"S"))&gt;0),1,0)+IF(AND((COUNTIF(AM20,"I")+COUNTIF(AM20,"AA")+COUNTIF(AM20,"S"))&gt;0,(COUNTIF(AN20,"I")+COUNTIF(AN20,"AA")+COUNTIF(AN20,"S"))&gt;0),1,0)+IF(AND((COUNTIF(AP20,"I")+COUNTIF(AP20,"AA")+COUNTIF(AP20,"S"))&gt;0,(COUNTIF(AQ20,"I")+COUNTIF(AQ20,"AA")+COUNTIF(AQ20,"S"))&gt;0),1,0)+IF(AND((COUNTIF(AR20,"I")+COUNTIF(AR20,"AA")+COUNTIF(AR20,"S"))&gt;0,(COUNTIF(AS20,"I")+COUNTIF(AS20,"AA")+COUNTIF(AS20,"S"))&gt;0),1,0)</f>
        <v>2</v>
      </c>
      <c r="L20" s="22"/>
      <c r="M20" s="24"/>
      <c r="N20" s="34" t="s">
        <v>24</v>
      </c>
      <c r="O20" s="34" t="s">
        <v>285</v>
      </c>
      <c r="P20" s="24"/>
      <c r="Q20" s="24"/>
      <c r="R20" s="24"/>
      <c r="S20" s="34" t="s">
        <v>284</v>
      </c>
      <c r="T20" s="34" t="s">
        <v>24</v>
      </c>
      <c r="U20" s="24"/>
      <c r="V20" s="24"/>
      <c r="W20" s="24"/>
      <c r="X20" s="24"/>
      <c r="Y20" s="24"/>
      <c r="Z20" s="24"/>
      <c r="AA20" s="24"/>
      <c r="AB20" s="34" t="s">
        <v>24</v>
      </c>
      <c r="AC20" s="34" t="s">
        <v>284</v>
      </c>
      <c r="AD20" s="24"/>
      <c r="AE20" s="24"/>
      <c r="AF20" s="24"/>
      <c r="AG20" s="24"/>
      <c r="AH20" s="34" t="s">
        <v>285</v>
      </c>
      <c r="AI20" s="34" t="s">
        <v>285</v>
      </c>
      <c r="AJ20" s="24"/>
      <c r="AK20" s="24"/>
      <c r="AL20" s="24" t="s">
        <v>283</v>
      </c>
      <c r="AM20" s="24"/>
      <c r="AN20" s="24"/>
      <c r="AO20" s="24"/>
      <c r="AP20" s="24"/>
      <c r="AQ20" s="34" t="s">
        <v>285</v>
      </c>
      <c r="AR20" s="34" t="s">
        <v>285</v>
      </c>
      <c r="AS20" s="24"/>
      <c r="AT20" s="34" t="s">
        <v>285</v>
      </c>
    </row>
    <row r="21" spans="1:46" x14ac:dyDescent="0.3">
      <c r="A21" s="4" t="s">
        <v>238</v>
      </c>
      <c r="B21" s="4" t="s">
        <v>61</v>
      </c>
      <c r="C21" s="4"/>
      <c r="D21" s="29">
        <f>COUNTIF(M21:AT21,"I")</f>
        <v>5</v>
      </c>
      <c r="E21" s="29">
        <f>COUNTIF(M21:AT21,"AA")</f>
        <v>4</v>
      </c>
      <c r="F21" s="29">
        <f>D21+E21</f>
        <v>9</v>
      </c>
      <c r="G21" s="29">
        <f>COUNTIF(M21:AT21,"S")</f>
        <v>2</v>
      </c>
      <c r="H21" s="29">
        <f>IF(M21="I",180,0)+IF(N21="I",90,0)+IF(O21="I",180,0)+IF(P21="I",180,0)+IF(Q21="I",180,0)+IF(R21="I",90,0)+IF(S21="I",180,0)+IF(T21="I",105,0)+IF(U21="I",180,0)+IF(V21="I",180,0)+IF(W21="I",120,0)+IF(X21="I",120,0)+IF(Y21="I",180,0)+IF(Z21="I",180,0)+IF(AA21="I",120,0)+IF(AB21="I",180,0)+IF(AC21="I",120,0)+IF(AD21="I",150,0)+IF(AE21="I",180,0)+IF(AF21="I",180,0)+IF(AG21="I",120,0)+IF(AH21="I",120,0)+IF(AI21="I",180,0)+IF(AJ21="I",120,0)+IF(AK21="I",180,0)+IF(AL21="I",150,0)+IF(AM21="I",180,0)+IF(AN21="I",60,0)+IF(AO21="I",180,0)+IF(AP21="I",180,0)+IF(AQ21="I",180,0)+IF(AR21="I",195,0)+IF(AS21="I",60,0)+IF(AT21="I",60,0)+IF(M21="AA",225,0)+IF(N21="AA",115,0)+IF(O21="AA",225,0)+IF(P21="AA",225,0)+IF(Q21="AA",225,0)+IF(R21="AA",115,0)+IF(S21="AA",225,0)+IF(T21="AA",135,0)+IF(U21="AA",225,0)+IF(V21="AA",225,0)+IF(W21="AA",150,0)+IF(X21="AA",150,0)+IF(Y21="AA",225,0)+IF(Z21="AA",225,0)+IF(AA21="AA",150,0)+IF(AB21="AA",225,0)+IF(AC21="AA",150,0)+IF(AD21="AA",190,0)+IF(AE21="AA",225,0)+IF(AF21="AA",225,0)+IF(AG21="AA",150,0)+IF(AH21="AA",150,0)+IF(AI21="AA",225,0)+IF(AJ21="AA",150,0)+IF(AK21="AA",225,0)+IF(AL21="AA",190,0)+IF(AM21="AA",225,0)+IF(AN21="AA",75,0)+IF(AO21="AA",225,0)+IF(AP21="AA",225,0)+IF(AQ21="AA",225,0)+IF(AR21="AA",245,0)+IF(AS21="AA",75,0)+IF(AT21="AA",75,0)</f>
        <v>1545</v>
      </c>
      <c r="I21" s="29">
        <f>COUNTIF(M21,"I")+COUNTIF(M21,"AA")+COUNTIF(M21,"S")+COUNTIF(N21,"I")+COUNTIF(N21,"AA")+COUNTIF(N21,"S")+COUNTIF(P21,"I")+COUNTIF(P21,"AA")+COUNTIF(P21,"S")+COUNTIF(R21,"I")+COUNTIF(R21,"AA")+COUNTIF(R21,"S")+COUNTIF(T21,"I")+COUNTIF(T21,"AA")+COUNTIF(T21,"S")+COUNTIF(V21,"I")+COUNTIF(V21,"AA")+COUNTIF(V21,"S")+COUNTIF(Y21,"I")+COUNTIF(Y21,"AA")+COUNTIF(Y21,"S")+COUNTIF(AA21,"I")+COUNTIF(AA21,"AA")+COUNTIF(AA21,"S")+COUNTIF(AC21,"I")+COUNTIF(AC21,"AA")+COUNTIF(AC21,"S")+COUNTIF(AD21,"I")+COUNTIF(AD21,"AA")+COUNTIF(AD21,"S")+COUNTIF(AF21,"I")+COUNTIF(AF21,"AA")+COUNTIF(AF21,"S")+COUNTIF(AH21,"I")+COUNTIF(AH21,"AA")+COUNTIF(AH21,"S")+COUNTIF(AK21,"I")+COUNTIF(AK21,"AA")+COUNTIF(AK21,"S")+COUNTIF(AM21,"I")+COUNTIF(AM21,"AA")+COUNTIF(AM21,"S")+COUNTIF(AP21,"I")+COUNTIF(AP21,"AA")+COUNTIF(AP21,"S")+COUNTIF(AR21,"I")+COUNTIF(AR21,"AA")+COUNTIF(AR21,"S")+COUNTIF(AT21,"I")+COUNTIF(AT21,"AA")+COUNTIF(AT21,"S")</f>
        <v>6</v>
      </c>
      <c r="J21" s="29">
        <f>COUNTIF(O21,"I")+COUNTIF(O21,"AA")+COUNTIF(O21,"S")+COUNTIF(Q21,"I")+COUNTIF(Q21,"AA")+COUNTIF(Q21,"S")+COUNTIF(S21,"I")+COUNTIF(S21,"AA")+COUNTIF(S21,"S")+COUNTIF(U21,"I")+COUNTIF(U21,"AA")+COUNTIF(U21,"S")+COUNTIF(W21,"I")+COUNTIF(W21,"AA")+COUNTIF(W21,"S")+COUNTIF(X21,"I")+COUNTIF(X21,"AA")+COUNTIF(X21,"S")+COUNTIF(Z21,"I")+COUNTIF(Z21,"AA")+COUNTIF(Z21,"S")+COUNTIF(AB21,"I")+COUNTIF(AB21,"AA")+COUNTIF(AB21,"S")+COUNTIF(AE21,"I")+COUNTIF(AE21,"AA")+COUNTIF(AE21,"S")+COUNTIF(AG21,"I")+COUNTIF(AG21,"AA")+COUNTIF(AG21,"S")+COUNTIF(AI21,"I")+COUNTIF(AI21,"AA")+COUNTIF(AI21,"S")+COUNTIF(AJ21,"I")+COUNTIF(AJ21,"AA")+COUNTIF(AJ21,"S")+COUNTIF(AL21,"I")+COUNTIF(AL21,"AA")+COUNTIF(AL21,"S")+COUNTIF(AN21,"I")+COUNTIF(AN21,"AA")+COUNTIF(AN21,"S")+COUNTIF(AO21,"I")+COUNTIF(AO21,"AA")+COUNTIF(AO21,"S")+COUNTIF(AQ21,"I")+COUNTIF(AQ21,"AA")+COUNTIF(AQ21,"S")+COUNTIF(AS21,"I")+COUNTIF(AS21,"AA")+COUNTIF(AS21,"S")</f>
        <v>5</v>
      </c>
      <c r="K21" s="29">
        <f>IF(AND((COUNTIF(N21,"I")+COUNTIF(N21,"AA")+COUNTIF(N21,"S"))&gt;0,(COUNTIF(O21,"I")+COUNTIF(O21,"AA")+COUNTIF(O21,"S"))&gt;0),1,0)+IF(AND((COUNTIF(P21,"I")+COUNTIF(P21,"AA")+COUNTIF(P21,"S"))&gt;0,(COUNTIF(Q21,"I")+COUNTIF(Q21,"AA")+COUNTIF(Q21,"S"))&gt;0),1,0)+IF(AND((COUNTIF(R21,"I")+COUNTIF(R21,"AA")+COUNTIF(R21,"S"))&gt;0,(COUNTIF(S21,"I")+COUNTIF(S21,"AA")+COUNTIF(S21,"S"))&gt;0),1,0)+IF(AND((COUNTIF(T21,"I")+COUNTIF(T21,"AA")+COUNTIF(T21,"S"))&gt;0,(COUNTIF(U21,"I")+COUNTIF(U21,"AA")+COUNTIF(U21,"S"))&gt;0),1,0)+IF(AND((COUNTIF(V21,"I")+COUNTIF(V21,"AA")+COUNTIF(V21,"S"))&gt;0,(COUNTIF(W21,"I")+COUNTIF(W21,"AA")+COUNTIF(W21,"S"))&gt;0),1,0)+IF(AND((COUNTIF(Y21,"I")+COUNTIF(Y21,"AA")+COUNTIF(Y21,"S"))&gt;0,(COUNTIF(Z21,"I")+COUNTIF(Z21,"AA")+COUNTIF(Z21,"S"))&gt;0),1,0)+IF(AND((COUNTIF(AA21,"I")+COUNTIF(AA21,"AA")+COUNTIF(AA21,"S"))&gt;0,(COUNTIF(AB21,"I")+COUNTIF(AB21,"AA")+COUNTIF(AB21,"S"))&gt;0),1,0)+IF(AND((COUNTIF(AD21,"I")+COUNTIF(AD21,"AA")+COUNTIF(AD21,"S"))&gt;0,(COUNTIF(AE21,"I")+COUNTIF(AE21,"AA")+COUNTIF(AE21,"S"))&gt;0),1,0)+IF(AND((COUNTIF(AF21,"I")+COUNTIF(AF21,"AA")+COUNTIF(AF21,"S"))&gt;0,(COUNTIF(AG21,"I")+COUNTIF(AG21,"AA")+COUNTIF(AG21,"S"))&gt;0),1,0)+IF(AND((COUNTIF(AH21,"I")+COUNTIF(AH21,"AA")+COUNTIF(AH21,"S"))&gt;0,(COUNTIF(AI21,"I")+COUNTIF(AI21,"AA")+COUNTIF(AI21,"S"))&gt;0),1,0)+IF(AND((COUNTIF(AK21,"I")+COUNTIF(AK21,"AA")+COUNTIF(AK21,"S"))&gt;0,(COUNTIF(AL21,"I")+COUNTIF(AL21,"AA")+COUNTIF(AL21,"S"))&gt;0),1,0)+IF(AND((COUNTIF(AM21,"I")+COUNTIF(AM21,"AA")+COUNTIF(AM21,"S"))&gt;0,(COUNTIF(AN21,"I")+COUNTIF(AN21,"AA")+COUNTIF(AN21,"S"))&gt;0),1,0)+IF(AND((COUNTIF(AP21,"I")+COUNTIF(AP21,"AA")+COUNTIF(AP21,"S"))&gt;0,(COUNTIF(AQ21,"I")+COUNTIF(AQ21,"AA")+COUNTIF(AQ21,"S"))&gt;0),1,0)+IF(AND((COUNTIF(AR21,"I")+COUNTIF(AR21,"AA")+COUNTIF(AR21,"S"))&gt;0,(COUNTIF(AS21,"I")+COUNTIF(AS21,"AA")+COUNTIF(AS21,"S"))&gt;0),1,0)</f>
        <v>0</v>
      </c>
      <c r="L21" s="22"/>
      <c r="M21" s="34" t="s">
        <v>285</v>
      </c>
      <c r="N21" s="34" t="s">
        <v>285</v>
      </c>
      <c r="O21" s="24"/>
      <c r="P21" s="24"/>
      <c r="Q21" s="34" t="s">
        <v>285</v>
      </c>
      <c r="R21" s="24"/>
      <c r="S21" s="34" t="s">
        <v>285</v>
      </c>
      <c r="T21" s="34" t="s">
        <v>24</v>
      </c>
      <c r="U21" s="24"/>
      <c r="V21" s="24"/>
      <c r="W21" s="24"/>
      <c r="X21" s="24"/>
      <c r="Y21" s="34" t="s">
        <v>24</v>
      </c>
      <c r="Z21" s="24"/>
      <c r="AA21" s="24"/>
      <c r="AB21" s="34" t="s">
        <v>24</v>
      </c>
      <c r="AC21" s="24"/>
      <c r="AD21" s="24"/>
      <c r="AE21" s="24"/>
      <c r="AF21" s="24"/>
      <c r="AG21" s="34" t="s">
        <v>24</v>
      </c>
      <c r="AH21" s="24" t="s">
        <v>283</v>
      </c>
      <c r="AI21" s="24"/>
      <c r="AJ21" s="34" t="s">
        <v>284</v>
      </c>
      <c r="AK21" s="24"/>
      <c r="AL21" s="24"/>
      <c r="AM21" s="34" t="s">
        <v>285</v>
      </c>
      <c r="AN21" s="24"/>
      <c r="AO21" s="24"/>
      <c r="AP21" s="24"/>
      <c r="AQ21" s="24"/>
      <c r="AR21" s="24"/>
      <c r="AS21" s="24" t="s">
        <v>283</v>
      </c>
      <c r="AT21" s="34" t="s">
        <v>284</v>
      </c>
    </row>
    <row r="22" spans="1:46" x14ac:dyDescent="0.3">
      <c r="A22" s="4" t="s">
        <v>239</v>
      </c>
      <c r="B22" s="4" t="s">
        <v>61</v>
      </c>
      <c r="C22" s="4"/>
      <c r="D22" s="29">
        <f>COUNTIF(M22:AT22,"I")</f>
        <v>5</v>
      </c>
      <c r="E22" s="29">
        <f>COUNTIF(M22:AT22,"AA")</f>
        <v>4</v>
      </c>
      <c r="F22" s="29">
        <f>D22+E22</f>
        <v>9</v>
      </c>
      <c r="G22" s="29">
        <f>COUNTIF(M22:AT22,"S")</f>
        <v>2</v>
      </c>
      <c r="H22" s="29">
        <f>IF(M22="I",180,0)+IF(N22="I",90,0)+IF(O22="I",180,0)+IF(P22="I",180,0)+IF(Q22="I",180,0)+IF(R22="I",90,0)+IF(S22="I",180,0)+IF(T22="I",105,0)+IF(U22="I",180,0)+IF(V22="I",180,0)+IF(W22="I",120,0)+IF(X22="I",120,0)+IF(Y22="I",180,0)+IF(Z22="I",180,0)+IF(AA22="I",120,0)+IF(AB22="I",180,0)+IF(AC22="I",120,0)+IF(AD22="I",150,0)+IF(AE22="I",180,0)+IF(AF22="I",180,0)+IF(AG22="I",120,0)+IF(AH22="I",120,0)+IF(AI22="I",180,0)+IF(AJ22="I",120,0)+IF(AK22="I",180,0)+IF(AL22="I",150,0)+IF(AM22="I",180,0)+IF(AN22="I",60,0)+IF(AO22="I",180,0)+IF(AP22="I",180,0)+IF(AQ22="I",180,0)+IF(AR22="I",195,0)+IF(AS22="I",60,0)+IF(AT22="I",60,0)+IF(M22="AA",225,0)+IF(N22="AA",115,0)+IF(O22="AA",225,0)+IF(P22="AA",225,0)+IF(Q22="AA",225,0)+IF(R22="AA",115,0)+IF(S22="AA",225,0)+IF(T22="AA",135,0)+IF(U22="AA",225,0)+IF(V22="AA",225,0)+IF(W22="AA",150,0)+IF(X22="AA",150,0)+IF(Y22="AA",225,0)+IF(Z22="AA",225,0)+IF(AA22="AA",150,0)+IF(AB22="AA",225,0)+IF(AC22="AA",150,0)+IF(AD22="AA",190,0)+IF(AE22="AA",225,0)+IF(AF22="AA",225,0)+IF(AG22="AA",150,0)+IF(AH22="AA",150,0)+IF(AI22="AA",225,0)+IF(AJ22="AA",150,0)+IF(AK22="AA",225,0)+IF(AL22="AA",190,0)+IF(AM22="AA",225,0)+IF(AN22="AA",75,0)+IF(AO22="AA",225,0)+IF(AP22="AA",225,0)+IF(AQ22="AA",225,0)+IF(AR22="AA",245,0)+IF(AS22="AA",75,0)+IF(AT22="AA",75,0)</f>
        <v>1455</v>
      </c>
      <c r="I22" s="29">
        <f>COUNTIF(M22,"I")+COUNTIF(M22,"AA")+COUNTIF(M22,"S")+COUNTIF(N22,"I")+COUNTIF(N22,"AA")+COUNTIF(N22,"S")+COUNTIF(P22,"I")+COUNTIF(P22,"AA")+COUNTIF(P22,"S")+COUNTIF(R22,"I")+COUNTIF(R22,"AA")+COUNTIF(R22,"S")+COUNTIF(T22,"I")+COUNTIF(T22,"AA")+COUNTIF(T22,"S")+COUNTIF(V22,"I")+COUNTIF(V22,"AA")+COUNTIF(V22,"S")+COUNTIF(Y22,"I")+COUNTIF(Y22,"AA")+COUNTIF(Y22,"S")+COUNTIF(AA22,"I")+COUNTIF(AA22,"AA")+COUNTIF(AA22,"S")+COUNTIF(AC22,"I")+COUNTIF(AC22,"AA")+COUNTIF(AC22,"S")+COUNTIF(AD22,"I")+COUNTIF(AD22,"AA")+COUNTIF(AD22,"S")+COUNTIF(AF22,"I")+COUNTIF(AF22,"AA")+COUNTIF(AF22,"S")+COUNTIF(AH22,"I")+COUNTIF(AH22,"AA")+COUNTIF(AH22,"S")+COUNTIF(AK22,"I")+COUNTIF(AK22,"AA")+COUNTIF(AK22,"S")+COUNTIF(AM22,"I")+COUNTIF(AM22,"AA")+COUNTIF(AM22,"S")+COUNTIF(AP22,"I")+COUNTIF(AP22,"AA")+COUNTIF(AP22,"S")+COUNTIF(AR22,"I")+COUNTIF(AR22,"AA")+COUNTIF(AR22,"S")+COUNTIF(AT22,"I")+COUNTIF(AT22,"AA")+COUNTIF(AT22,"S")</f>
        <v>4</v>
      </c>
      <c r="J22" s="29">
        <f>COUNTIF(O22,"I")+COUNTIF(O22,"AA")+COUNTIF(O22,"S")+COUNTIF(Q22,"I")+COUNTIF(Q22,"AA")+COUNTIF(Q22,"S")+COUNTIF(S22,"I")+COUNTIF(S22,"AA")+COUNTIF(S22,"S")+COUNTIF(U22,"I")+COUNTIF(U22,"AA")+COUNTIF(U22,"S")+COUNTIF(W22,"I")+COUNTIF(W22,"AA")+COUNTIF(W22,"S")+COUNTIF(X22,"I")+COUNTIF(X22,"AA")+COUNTIF(X22,"S")+COUNTIF(Z22,"I")+COUNTIF(Z22,"AA")+COUNTIF(Z22,"S")+COUNTIF(AB22,"I")+COUNTIF(AB22,"AA")+COUNTIF(AB22,"S")+COUNTIF(AE22,"I")+COUNTIF(AE22,"AA")+COUNTIF(AE22,"S")+COUNTIF(AG22,"I")+COUNTIF(AG22,"AA")+COUNTIF(AG22,"S")+COUNTIF(AI22,"I")+COUNTIF(AI22,"AA")+COUNTIF(AI22,"S")+COUNTIF(AJ22,"I")+COUNTIF(AJ22,"AA")+COUNTIF(AJ22,"S")+COUNTIF(AL22,"I")+COUNTIF(AL22,"AA")+COUNTIF(AL22,"S")+COUNTIF(AN22,"I")+COUNTIF(AN22,"AA")+COUNTIF(AN22,"S")+COUNTIF(AO22,"I")+COUNTIF(AO22,"AA")+COUNTIF(AO22,"S")+COUNTIF(AQ22,"I")+COUNTIF(AQ22,"AA")+COUNTIF(AQ22,"S")+COUNTIF(AS22,"I")+COUNTIF(AS22,"AA")+COUNTIF(AS22,"S")</f>
        <v>7</v>
      </c>
      <c r="K22" s="29">
        <f>IF(AND((COUNTIF(N22,"I")+COUNTIF(N22,"AA")+COUNTIF(N22,"S"))&gt;0,(COUNTIF(O22,"I")+COUNTIF(O22,"AA")+COUNTIF(O22,"S"))&gt;0),1,0)+IF(AND((COUNTIF(P22,"I")+COUNTIF(P22,"AA")+COUNTIF(P22,"S"))&gt;0,(COUNTIF(Q22,"I")+COUNTIF(Q22,"AA")+COUNTIF(Q22,"S"))&gt;0),1,0)+IF(AND((COUNTIF(R22,"I")+COUNTIF(R22,"AA")+COUNTIF(R22,"S"))&gt;0,(COUNTIF(S22,"I")+COUNTIF(S22,"AA")+COUNTIF(S22,"S"))&gt;0),1,0)+IF(AND((COUNTIF(T22,"I")+COUNTIF(T22,"AA")+COUNTIF(T22,"S"))&gt;0,(COUNTIF(U22,"I")+COUNTIF(U22,"AA")+COUNTIF(U22,"S"))&gt;0),1,0)+IF(AND((COUNTIF(V22,"I")+COUNTIF(V22,"AA")+COUNTIF(V22,"S"))&gt;0,(COUNTIF(W22,"I")+COUNTIF(W22,"AA")+COUNTIF(W22,"S"))&gt;0),1,0)+IF(AND((COUNTIF(Y22,"I")+COUNTIF(Y22,"AA")+COUNTIF(Y22,"S"))&gt;0,(COUNTIF(Z22,"I")+COUNTIF(Z22,"AA")+COUNTIF(Z22,"S"))&gt;0),1,0)+IF(AND((COUNTIF(AA22,"I")+COUNTIF(AA22,"AA")+COUNTIF(AA22,"S"))&gt;0,(COUNTIF(AB22,"I")+COUNTIF(AB22,"AA")+COUNTIF(AB22,"S"))&gt;0),1,0)+IF(AND((COUNTIF(AD22,"I")+COUNTIF(AD22,"AA")+COUNTIF(AD22,"S"))&gt;0,(COUNTIF(AE22,"I")+COUNTIF(AE22,"AA")+COUNTIF(AE22,"S"))&gt;0),1,0)+IF(AND((COUNTIF(AF22,"I")+COUNTIF(AF22,"AA")+COUNTIF(AF22,"S"))&gt;0,(COUNTIF(AG22,"I")+COUNTIF(AG22,"AA")+COUNTIF(AG22,"S"))&gt;0),1,0)+IF(AND((COUNTIF(AH22,"I")+COUNTIF(AH22,"AA")+COUNTIF(AH22,"S"))&gt;0,(COUNTIF(AI22,"I")+COUNTIF(AI22,"AA")+COUNTIF(AI22,"S"))&gt;0),1,0)+IF(AND((COUNTIF(AK22,"I")+COUNTIF(AK22,"AA")+COUNTIF(AK22,"S"))&gt;0,(COUNTIF(AL22,"I")+COUNTIF(AL22,"AA")+COUNTIF(AL22,"S"))&gt;0),1,0)+IF(AND((COUNTIF(AM22,"I")+COUNTIF(AM22,"AA")+COUNTIF(AM22,"S"))&gt;0,(COUNTIF(AN22,"I")+COUNTIF(AN22,"AA")+COUNTIF(AN22,"S"))&gt;0),1,0)+IF(AND((COUNTIF(AP22,"I")+COUNTIF(AP22,"AA")+COUNTIF(AP22,"S"))&gt;0,(COUNTIF(AQ22,"I")+COUNTIF(AQ22,"AA")+COUNTIF(AQ22,"S"))&gt;0),1,0)+IF(AND((COUNTIF(AR22,"I")+COUNTIF(AR22,"AA")+COUNTIF(AR22,"S"))&gt;0,(COUNTIF(AS22,"I")+COUNTIF(AS22,"AA")+COUNTIF(AS22,"S"))&gt;0),1,0)</f>
        <v>0</v>
      </c>
      <c r="L22" s="22"/>
      <c r="M22" s="34" t="s">
        <v>285</v>
      </c>
      <c r="N22" s="24"/>
      <c r="O22" s="24"/>
      <c r="P22" s="24"/>
      <c r="Q22" s="34" t="s">
        <v>285</v>
      </c>
      <c r="R22" s="24"/>
      <c r="S22" s="34" t="s">
        <v>285</v>
      </c>
      <c r="T22" s="34" t="s">
        <v>24</v>
      </c>
      <c r="U22" s="24"/>
      <c r="V22" s="24"/>
      <c r="W22" s="34" t="s">
        <v>284</v>
      </c>
      <c r="X22" s="24"/>
      <c r="Y22" s="34" t="s">
        <v>24</v>
      </c>
      <c r="Z22" s="24"/>
      <c r="AA22" s="24"/>
      <c r="AB22" s="34" t="s">
        <v>24</v>
      </c>
      <c r="AC22" s="34" t="s">
        <v>285</v>
      </c>
      <c r="AD22" s="24"/>
      <c r="AE22" s="24"/>
      <c r="AF22" s="24"/>
      <c r="AG22" s="34" t="s">
        <v>24</v>
      </c>
      <c r="AH22" s="24"/>
      <c r="AI22" s="24"/>
      <c r="AJ22" s="24"/>
      <c r="AK22" s="24"/>
      <c r="AL22" s="24"/>
      <c r="AM22" s="24" t="s">
        <v>283</v>
      </c>
      <c r="AN22" s="34" t="s">
        <v>284</v>
      </c>
      <c r="AO22" s="24"/>
      <c r="AP22" s="24" t="s">
        <v>283</v>
      </c>
      <c r="AQ22" s="24"/>
      <c r="AR22" s="24"/>
      <c r="AS22" s="34" t="s">
        <v>285</v>
      </c>
      <c r="AT22" s="24"/>
    </row>
    <row r="23" spans="1:46" x14ac:dyDescent="0.3">
      <c r="A23" s="4" t="s">
        <v>240</v>
      </c>
      <c r="B23" s="4" t="s">
        <v>61</v>
      </c>
      <c r="C23" s="4"/>
      <c r="D23" s="29">
        <f>COUNTIF(M23:AT23,"I")</f>
        <v>6</v>
      </c>
      <c r="E23" s="29">
        <f>COUNTIF(M23:AT23,"AA")</f>
        <v>3</v>
      </c>
      <c r="F23" s="29">
        <f>D23+E23</f>
        <v>9</v>
      </c>
      <c r="G23" s="29">
        <f>COUNTIF(M23:AT23,"S")</f>
        <v>2</v>
      </c>
      <c r="H23" s="29">
        <f>IF(M23="I",180,0)+IF(N23="I",90,0)+IF(O23="I",180,0)+IF(P23="I",180,0)+IF(Q23="I",180,0)+IF(R23="I",90,0)+IF(S23="I",180,0)+IF(T23="I",105,0)+IF(U23="I",180,0)+IF(V23="I",180,0)+IF(W23="I",120,0)+IF(X23="I",120,0)+IF(Y23="I",180,0)+IF(Z23="I",180,0)+IF(AA23="I",120,0)+IF(AB23="I",180,0)+IF(AC23="I",120,0)+IF(AD23="I",150,0)+IF(AE23="I",180,0)+IF(AF23="I",180,0)+IF(AG23="I",120,0)+IF(AH23="I",120,0)+IF(AI23="I",180,0)+IF(AJ23="I",120,0)+IF(AK23="I",180,0)+IF(AL23="I",150,0)+IF(AM23="I",180,0)+IF(AN23="I",60,0)+IF(AO23="I",180,0)+IF(AP23="I",180,0)+IF(AQ23="I",180,0)+IF(AR23="I",195,0)+IF(AS23="I",60,0)+IF(AT23="I",60,0)+IF(M23="AA",225,0)+IF(N23="AA",115,0)+IF(O23="AA",225,0)+IF(P23="AA",225,0)+IF(Q23="AA",225,0)+IF(R23="AA",115,0)+IF(S23="AA",225,0)+IF(T23="AA",135,0)+IF(U23="AA",225,0)+IF(V23="AA",225,0)+IF(W23="AA",150,0)+IF(X23="AA",150,0)+IF(Y23="AA",225,0)+IF(Z23="AA",225,0)+IF(AA23="AA",150,0)+IF(AB23="AA",225,0)+IF(AC23="AA",150,0)+IF(AD23="AA",190,0)+IF(AE23="AA",225,0)+IF(AF23="AA",225,0)+IF(AG23="AA",150,0)+IF(AH23="AA",150,0)+IF(AI23="AA",225,0)+IF(AJ23="AA",150,0)+IF(AK23="AA",225,0)+IF(AL23="AA",190,0)+IF(AM23="AA",225,0)+IF(AN23="AA",75,0)+IF(AO23="AA",225,0)+IF(AP23="AA",225,0)+IF(AQ23="AA",225,0)+IF(AR23="AA",245,0)+IF(AS23="AA",75,0)+IF(AT23="AA",75,0)</f>
        <v>1500</v>
      </c>
      <c r="I23" s="29">
        <f>COUNTIF(M23,"I")+COUNTIF(M23,"AA")+COUNTIF(M23,"S")+COUNTIF(N23,"I")+COUNTIF(N23,"AA")+COUNTIF(N23,"S")+COUNTIF(P23,"I")+COUNTIF(P23,"AA")+COUNTIF(P23,"S")+COUNTIF(R23,"I")+COUNTIF(R23,"AA")+COUNTIF(R23,"S")+COUNTIF(T23,"I")+COUNTIF(T23,"AA")+COUNTIF(T23,"S")+COUNTIF(V23,"I")+COUNTIF(V23,"AA")+COUNTIF(V23,"S")+COUNTIF(Y23,"I")+COUNTIF(Y23,"AA")+COUNTIF(Y23,"S")+COUNTIF(AA23,"I")+COUNTIF(AA23,"AA")+COUNTIF(AA23,"S")+COUNTIF(AC23,"I")+COUNTIF(AC23,"AA")+COUNTIF(AC23,"S")+COUNTIF(AD23,"I")+COUNTIF(AD23,"AA")+COUNTIF(AD23,"S")+COUNTIF(AF23,"I")+COUNTIF(AF23,"AA")+COUNTIF(AF23,"S")+COUNTIF(AH23,"I")+COUNTIF(AH23,"AA")+COUNTIF(AH23,"S")+COUNTIF(AK23,"I")+COUNTIF(AK23,"AA")+COUNTIF(AK23,"S")+COUNTIF(AM23,"I")+COUNTIF(AM23,"AA")+COUNTIF(AM23,"S")+COUNTIF(AP23,"I")+COUNTIF(AP23,"AA")+COUNTIF(AP23,"S")+COUNTIF(AR23,"I")+COUNTIF(AR23,"AA")+COUNTIF(AR23,"S")+COUNTIF(AT23,"I")+COUNTIF(AT23,"AA")+COUNTIF(AT23,"S")</f>
        <v>5</v>
      </c>
      <c r="J23" s="29">
        <f>COUNTIF(O23,"I")+COUNTIF(O23,"AA")+COUNTIF(O23,"S")+COUNTIF(Q23,"I")+COUNTIF(Q23,"AA")+COUNTIF(Q23,"S")+COUNTIF(S23,"I")+COUNTIF(S23,"AA")+COUNTIF(S23,"S")+COUNTIF(U23,"I")+COUNTIF(U23,"AA")+COUNTIF(U23,"S")+COUNTIF(W23,"I")+COUNTIF(W23,"AA")+COUNTIF(W23,"S")+COUNTIF(X23,"I")+COUNTIF(X23,"AA")+COUNTIF(X23,"S")+COUNTIF(Z23,"I")+COUNTIF(Z23,"AA")+COUNTIF(Z23,"S")+COUNTIF(AB23,"I")+COUNTIF(AB23,"AA")+COUNTIF(AB23,"S")+COUNTIF(AE23,"I")+COUNTIF(AE23,"AA")+COUNTIF(AE23,"S")+COUNTIF(AG23,"I")+COUNTIF(AG23,"AA")+COUNTIF(AG23,"S")+COUNTIF(AI23,"I")+COUNTIF(AI23,"AA")+COUNTIF(AI23,"S")+COUNTIF(AJ23,"I")+COUNTIF(AJ23,"AA")+COUNTIF(AJ23,"S")+COUNTIF(AL23,"I")+COUNTIF(AL23,"AA")+COUNTIF(AL23,"S")+COUNTIF(AN23,"I")+COUNTIF(AN23,"AA")+COUNTIF(AN23,"S")+COUNTIF(AO23,"I")+COUNTIF(AO23,"AA")+COUNTIF(AO23,"S")+COUNTIF(AQ23,"I")+COUNTIF(AQ23,"AA")+COUNTIF(AQ23,"S")+COUNTIF(AS23,"I")+COUNTIF(AS23,"AA")+COUNTIF(AS23,"S")</f>
        <v>6</v>
      </c>
      <c r="K23" s="29">
        <f>IF(AND((COUNTIF(N23,"I")+COUNTIF(N23,"AA")+COUNTIF(N23,"S"))&gt;0,(COUNTIF(O23,"I")+COUNTIF(O23,"AA")+COUNTIF(O23,"S"))&gt;0),1,0)+IF(AND((COUNTIF(P23,"I")+COUNTIF(P23,"AA")+COUNTIF(P23,"S"))&gt;0,(COUNTIF(Q23,"I")+COUNTIF(Q23,"AA")+COUNTIF(Q23,"S"))&gt;0),1,0)+IF(AND((COUNTIF(R23,"I")+COUNTIF(R23,"AA")+COUNTIF(R23,"S"))&gt;0,(COUNTIF(S23,"I")+COUNTIF(S23,"AA")+COUNTIF(S23,"S"))&gt;0),1,0)+IF(AND((COUNTIF(T23,"I")+COUNTIF(T23,"AA")+COUNTIF(T23,"S"))&gt;0,(COUNTIF(U23,"I")+COUNTIF(U23,"AA")+COUNTIF(U23,"S"))&gt;0),1,0)+IF(AND((COUNTIF(V23,"I")+COUNTIF(V23,"AA")+COUNTIF(V23,"S"))&gt;0,(COUNTIF(W23,"I")+COUNTIF(W23,"AA")+COUNTIF(W23,"S"))&gt;0),1,0)+IF(AND((COUNTIF(Y23,"I")+COUNTIF(Y23,"AA")+COUNTIF(Y23,"S"))&gt;0,(COUNTIF(Z23,"I")+COUNTIF(Z23,"AA")+COUNTIF(Z23,"S"))&gt;0),1,0)+IF(AND((COUNTIF(AA23,"I")+COUNTIF(AA23,"AA")+COUNTIF(AA23,"S"))&gt;0,(COUNTIF(AB23,"I")+COUNTIF(AB23,"AA")+COUNTIF(AB23,"S"))&gt;0),1,0)+IF(AND((COUNTIF(AD23,"I")+COUNTIF(AD23,"AA")+COUNTIF(AD23,"S"))&gt;0,(COUNTIF(AE23,"I")+COUNTIF(AE23,"AA")+COUNTIF(AE23,"S"))&gt;0),1,0)+IF(AND((COUNTIF(AF23,"I")+COUNTIF(AF23,"AA")+COUNTIF(AF23,"S"))&gt;0,(COUNTIF(AG23,"I")+COUNTIF(AG23,"AA")+COUNTIF(AG23,"S"))&gt;0),1,0)+IF(AND((COUNTIF(AH23,"I")+COUNTIF(AH23,"AA")+COUNTIF(AH23,"S"))&gt;0,(COUNTIF(AI23,"I")+COUNTIF(AI23,"AA")+COUNTIF(AI23,"S"))&gt;0),1,0)+IF(AND((COUNTIF(AK23,"I")+COUNTIF(AK23,"AA")+COUNTIF(AK23,"S"))&gt;0,(COUNTIF(AL23,"I")+COUNTIF(AL23,"AA")+COUNTIF(AL23,"S"))&gt;0),1,0)+IF(AND((COUNTIF(AM23,"I")+COUNTIF(AM23,"AA")+COUNTIF(AM23,"S"))&gt;0,(COUNTIF(AN23,"I")+COUNTIF(AN23,"AA")+COUNTIF(AN23,"S"))&gt;0),1,0)+IF(AND((COUNTIF(AP23,"I")+COUNTIF(AP23,"AA")+COUNTIF(AP23,"S"))&gt;0,(COUNTIF(AQ23,"I")+COUNTIF(AQ23,"AA")+COUNTIF(AQ23,"S"))&gt;0),1,0)+IF(AND((COUNTIF(AR23,"I")+COUNTIF(AR23,"AA")+COUNTIF(AR23,"S"))&gt;0,(COUNTIF(AS23,"I")+COUNTIF(AS23,"AA")+COUNTIF(AS23,"S"))&gt;0),1,0)</f>
        <v>1</v>
      </c>
      <c r="L23" s="22"/>
      <c r="M23" s="24"/>
      <c r="N23" s="24"/>
      <c r="O23" s="34" t="s">
        <v>285</v>
      </c>
      <c r="P23" s="24"/>
      <c r="Q23" s="34" t="s">
        <v>284</v>
      </c>
      <c r="R23" s="34" t="s">
        <v>284</v>
      </c>
      <c r="S23" s="24"/>
      <c r="T23" s="34" t="s">
        <v>24</v>
      </c>
      <c r="U23" s="34" t="s">
        <v>285</v>
      </c>
      <c r="V23" s="24"/>
      <c r="W23" s="24"/>
      <c r="X23" s="34" t="s">
        <v>285</v>
      </c>
      <c r="Y23" s="34" t="s">
        <v>24</v>
      </c>
      <c r="Z23" s="24"/>
      <c r="AA23" s="24"/>
      <c r="AB23" s="34" t="s">
        <v>24</v>
      </c>
      <c r="AC23" s="24"/>
      <c r="AD23" s="24"/>
      <c r="AE23" s="24"/>
      <c r="AF23" s="24"/>
      <c r="AG23" s="24"/>
      <c r="AH23" s="24"/>
      <c r="AI23" s="24" t="s">
        <v>283</v>
      </c>
      <c r="AJ23" s="24"/>
      <c r="AK23" s="24"/>
      <c r="AL23" s="24" t="s">
        <v>283</v>
      </c>
      <c r="AM23" s="24"/>
      <c r="AN23" s="24"/>
      <c r="AO23" s="24"/>
      <c r="AP23" s="24"/>
      <c r="AQ23" s="34" t="s">
        <v>285</v>
      </c>
      <c r="AR23" s="34" t="s">
        <v>285</v>
      </c>
      <c r="AS23" s="24"/>
      <c r="AT23" s="34" t="s">
        <v>285</v>
      </c>
    </row>
    <row r="24" spans="1:46" x14ac:dyDescent="0.3">
      <c r="A24" s="4" t="s">
        <v>241</v>
      </c>
      <c r="B24" s="4" t="s">
        <v>61</v>
      </c>
      <c r="C24" s="4"/>
      <c r="D24" s="29">
        <f>COUNTIF(M24:AT24,"I")</f>
        <v>6</v>
      </c>
      <c r="E24" s="29">
        <f>COUNTIF(M24:AT24,"AA")</f>
        <v>3</v>
      </c>
      <c r="F24" s="29">
        <f>D24+E24</f>
        <v>9</v>
      </c>
      <c r="G24" s="29">
        <f>COUNTIF(M24:AT24,"S")</f>
        <v>3</v>
      </c>
      <c r="H24" s="29">
        <f>IF(M24="I",180,0)+IF(N24="I",90,0)+IF(O24="I",180,0)+IF(P24="I",180,0)+IF(Q24="I",180,0)+IF(R24="I",90,0)+IF(S24="I",180,0)+IF(T24="I",105,0)+IF(U24="I",180,0)+IF(V24="I",180,0)+IF(W24="I",120,0)+IF(X24="I",120,0)+IF(Y24="I",180,0)+IF(Z24="I",180,0)+IF(AA24="I",120,0)+IF(AB24="I",180,0)+IF(AC24="I",120,0)+IF(AD24="I",150,0)+IF(AE24="I",180,0)+IF(AF24="I",180,0)+IF(AG24="I",120,0)+IF(AH24="I",120,0)+IF(AI24="I",180,0)+IF(AJ24="I",120,0)+IF(AK24="I",180,0)+IF(AL24="I",150,0)+IF(AM24="I",180,0)+IF(AN24="I",60,0)+IF(AO24="I",180,0)+IF(AP24="I",180,0)+IF(AQ24="I",180,0)+IF(AR24="I",195,0)+IF(AS24="I",60,0)+IF(AT24="I",60,0)+IF(M24="AA",225,0)+IF(N24="AA",115,0)+IF(O24="AA",225,0)+IF(P24="AA",225,0)+IF(Q24="AA",225,0)+IF(R24="AA",115,0)+IF(S24="AA",225,0)+IF(T24="AA",135,0)+IF(U24="AA",225,0)+IF(V24="AA",225,0)+IF(W24="AA",150,0)+IF(X24="AA",150,0)+IF(Y24="AA",225,0)+IF(Z24="AA",225,0)+IF(AA24="AA",150,0)+IF(AB24="AA",225,0)+IF(AC24="AA",150,0)+IF(AD24="AA",190,0)+IF(AE24="AA",225,0)+IF(AF24="AA",225,0)+IF(AG24="AA",150,0)+IF(AH24="AA",150,0)+IF(AI24="AA",225,0)+IF(AJ24="AA",150,0)+IF(AK24="AA",225,0)+IF(AL24="AA",190,0)+IF(AM24="AA",225,0)+IF(AN24="AA",75,0)+IF(AO24="AA",225,0)+IF(AP24="AA",225,0)+IF(AQ24="AA",225,0)+IF(AR24="AA",245,0)+IF(AS24="AA",75,0)+IF(AT24="AA",75,0)</f>
        <v>1330</v>
      </c>
      <c r="I24" s="29">
        <f>COUNTIF(M24,"I")+COUNTIF(M24,"AA")+COUNTIF(M24,"S")+COUNTIF(N24,"I")+COUNTIF(N24,"AA")+COUNTIF(N24,"S")+COUNTIF(P24,"I")+COUNTIF(P24,"AA")+COUNTIF(P24,"S")+COUNTIF(R24,"I")+COUNTIF(R24,"AA")+COUNTIF(R24,"S")+COUNTIF(T24,"I")+COUNTIF(T24,"AA")+COUNTIF(T24,"S")+COUNTIF(V24,"I")+COUNTIF(V24,"AA")+COUNTIF(V24,"S")+COUNTIF(Y24,"I")+COUNTIF(Y24,"AA")+COUNTIF(Y24,"S")+COUNTIF(AA24,"I")+COUNTIF(AA24,"AA")+COUNTIF(AA24,"S")+COUNTIF(AC24,"I")+COUNTIF(AC24,"AA")+COUNTIF(AC24,"S")+COUNTIF(AD24,"I")+COUNTIF(AD24,"AA")+COUNTIF(AD24,"S")+COUNTIF(AF24,"I")+COUNTIF(AF24,"AA")+COUNTIF(AF24,"S")+COUNTIF(AH24,"I")+COUNTIF(AH24,"AA")+COUNTIF(AH24,"S")+COUNTIF(AK24,"I")+COUNTIF(AK24,"AA")+COUNTIF(AK24,"S")+COUNTIF(AM24,"I")+COUNTIF(AM24,"AA")+COUNTIF(AM24,"S")+COUNTIF(AP24,"I")+COUNTIF(AP24,"AA")+COUNTIF(AP24,"S")+COUNTIF(AR24,"I")+COUNTIF(AR24,"AA")+COUNTIF(AR24,"S")+COUNTIF(AT24,"I")+COUNTIF(AT24,"AA")+COUNTIF(AT24,"S")</f>
        <v>6</v>
      </c>
      <c r="J24" s="29">
        <f>COUNTIF(O24,"I")+COUNTIF(O24,"AA")+COUNTIF(O24,"S")+COUNTIF(Q24,"I")+COUNTIF(Q24,"AA")+COUNTIF(Q24,"S")+COUNTIF(S24,"I")+COUNTIF(S24,"AA")+COUNTIF(S24,"S")+COUNTIF(U24,"I")+COUNTIF(U24,"AA")+COUNTIF(U24,"S")+COUNTIF(W24,"I")+COUNTIF(W24,"AA")+COUNTIF(W24,"S")+COUNTIF(X24,"I")+COUNTIF(X24,"AA")+COUNTIF(X24,"S")+COUNTIF(Z24,"I")+COUNTIF(Z24,"AA")+COUNTIF(Z24,"S")+COUNTIF(AB24,"I")+COUNTIF(AB24,"AA")+COUNTIF(AB24,"S")+COUNTIF(AE24,"I")+COUNTIF(AE24,"AA")+COUNTIF(AE24,"S")+COUNTIF(AG24,"I")+COUNTIF(AG24,"AA")+COUNTIF(AG24,"S")+COUNTIF(AI24,"I")+COUNTIF(AI24,"AA")+COUNTIF(AI24,"S")+COUNTIF(AJ24,"I")+COUNTIF(AJ24,"AA")+COUNTIF(AJ24,"S")+COUNTIF(AL24,"I")+COUNTIF(AL24,"AA")+COUNTIF(AL24,"S")+COUNTIF(AN24,"I")+COUNTIF(AN24,"AA")+COUNTIF(AN24,"S")+COUNTIF(AO24,"I")+COUNTIF(AO24,"AA")+COUNTIF(AO24,"S")+COUNTIF(AQ24,"I")+COUNTIF(AQ24,"AA")+COUNTIF(AQ24,"S")+COUNTIF(AS24,"I")+COUNTIF(AS24,"AA")+COUNTIF(AS24,"S")</f>
        <v>6</v>
      </c>
      <c r="K24" s="29">
        <f>IF(AND((COUNTIF(N24,"I")+COUNTIF(N24,"AA")+COUNTIF(N24,"S"))&gt;0,(COUNTIF(O24,"I")+COUNTIF(O24,"AA")+COUNTIF(O24,"S"))&gt;0),1,0)+IF(AND((COUNTIF(P24,"I")+COUNTIF(P24,"AA")+COUNTIF(P24,"S"))&gt;0,(COUNTIF(Q24,"I")+COUNTIF(Q24,"AA")+COUNTIF(Q24,"S"))&gt;0),1,0)+IF(AND((COUNTIF(R24,"I")+COUNTIF(R24,"AA")+COUNTIF(R24,"S"))&gt;0,(COUNTIF(S24,"I")+COUNTIF(S24,"AA")+COUNTIF(S24,"S"))&gt;0),1,0)+IF(AND((COUNTIF(T24,"I")+COUNTIF(T24,"AA")+COUNTIF(T24,"S"))&gt;0,(COUNTIF(U24,"I")+COUNTIF(U24,"AA")+COUNTIF(U24,"S"))&gt;0),1,0)+IF(AND((COUNTIF(V24,"I")+COUNTIF(V24,"AA")+COUNTIF(V24,"S"))&gt;0,(COUNTIF(W24,"I")+COUNTIF(W24,"AA")+COUNTIF(W24,"S"))&gt;0),1,0)+IF(AND((COUNTIF(Y24,"I")+COUNTIF(Y24,"AA")+COUNTIF(Y24,"S"))&gt;0,(COUNTIF(Z24,"I")+COUNTIF(Z24,"AA")+COUNTIF(Z24,"S"))&gt;0),1,0)+IF(AND((COUNTIF(AA24,"I")+COUNTIF(AA24,"AA")+COUNTIF(AA24,"S"))&gt;0,(COUNTIF(AB24,"I")+COUNTIF(AB24,"AA")+COUNTIF(AB24,"S"))&gt;0),1,0)+IF(AND((COUNTIF(AD24,"I")+COUNTIF(AD24,"AA")+COUNTIF(AD24,"S"))&gt;0,(COUNTIF(AE24,"I")+COUNTIF(AE24,"AA")+COUNTIF(AE24,"S"))&gt;0),1,0)+IF(AND((COUNTIF(AF24,"I")+COUNTIF(AF24,"AA")+COUNTIF(AF24,"S"))&gt;0,(COUNTIF(AG24,"I")+COUNTIF(AG24,"AA")+COUNTIF(AG24,"S"))&gt;0),1,0)+IF(AND((COUNTIF(AH24,"I")+COUNTIF(AH24,"AA")+COUNTIF(AH24,"S"))&gt;0,(COUNTIF(AI24,"I")+COUNTIF(AI24,"AA")+COUNTIF(AI24,"S"))&gt;0),1,0)+IF(AND((COUNTIF(AK24,"I")+COUNTIF(AK24,"AA")+COUNTIF(AK24,"S"))&gt;0,(COUNTIF(AL24,"I")+COUNTIF(AL24,"AA")+COUNTIF(AL24,"S"))&gt;0),1,0)+IF(AND((COUNTIF(AM24,"I")+COUNTIF(AM24,"AA")+COUNTIF(AM24,"S"))&gt;0,(COUNTIF(AN24,"I")+COUNTIF(AN24,"AA")+COUNTIF(AN24,"S"))&gt;0),1,0)+IF(AND((COUNTIF(AP24,"I")+COUNTIF(AP24,"AA")+COUNTIF(AP24,"S"))&gt;0,(COUNTIF(AQ24,"I")+COUNTIF(AQ24,"AA")+COUNTIF(AQ24,"S"))&gt;0),1,0)+IF(AND((COUNTIF(AR24,"I")+COUNTIF(AR24,"AA")+COUNTIF(AR24,"S"))&gt;0,(COUNTIF(AS24,"I")+COUNTIF(AS24,"AA")+COUNTIF(AS24,"S"))&gt;0),1,0)</f>
        <v>0</v>
      </c>
      <c r="L24" s="22"/>
      <c r="M24" s="34" t="s">
        <v>284</v>
      </c>
      <c r="N24" s="24"/>
      <c r="O24" s="34" t="s">
        <v>285</v>
      </c>
      <c r="P24" s="24"/>
      <c r="Q24" s="24"/>
      <c r="R24" s="34" t="s">
        <v>24</v>
      </c>
      <c r="S24" s="24"/>
      <c r="T24" s="34" t="s">
        <v>24</v>
      </c>
      <c r="U24" s="24"/>
      <c r="V24" s="24"/>
      <c r="W24" s="24"/>
      <c r="X24" s="34" t="s">
        <v>284</v>
      </c>
      <c r="Y24" s="34" t="s">
        <v>284</v>
      </c>
      <c r="Z24" s="24"/>
      <c r="AA24" s="24"/>
      <c r="AB24" s="34" t="s">
        <v>24</v>
      </c>
      <c r="AC24" s="24"/>
      <c r="AD24" s="24"/>
      <c r="AE24" s="24"/>
      <c r="AF24" s="24"/>
      <c r="AG24" s="24"/>
      <c r="AH24" s="24" t="s">
        <v>283</v>
      </c>
      <c r="AI24" s="34" t="s">
        <v>285</v>
      </c>
      <c r="AJ24" s="24"/>
      <c r="AK24" s="24"/>
      <c r="AL24" s="24"/>
      <c r="AM24" s="24"/>
      <c r="AN24" s="34" t="s">
        <v>285</v>
      </c>
      <c r="AO24" s="24"/>
      <c r="AP24" s="24"/>
      <c r="AQ24" s="34" t="s">
        <v>285</v>
      </c>
      <c r="AR24" s="34" t="s">
        <v>285</v>
      </c>
      <c r="AS24" s="24" t="s">
        <v>283</v>
      </c>
      <c r="AT24" s="34" t="s">
        <v>285</v>
      </c>
    </row>
    <row r="25" spans="1:46" x14ac:dyDescent="0.3">
      <c r="A25" s="4" t="s">
        <v>242</v>
      </c>
      <c r="B25" s="4" t="s">
        <v>61</v>
      </c>
      <c r="C25" s="4"/>
      <c r="D25" s="29">
        <f>COUNTIF(M25:AT25,"I")</f>
        <v>6</v>
      </c>
      <c r="E25" s="29">
        <f>COUNTIF(M25:AT25,"AA")</f>
        <v>3</v>
      </c>
      <c r="F25" s="29">
        <f>D25+E25</f>
        <v>9</v>
      </c>
      <c r="G25" s="29">
        <f>COUNTIF(M25:AT25,"S")</f>
        <v>3</v>
      </c>
      <c r="H25" s="29">
        <f>IF(M25="I",180,0)+IF(N25="I",90,0)+IF(O25="I",180,0)+IF(P25="I",180,0)+IF(Q25="I",180,0)+IF(R25="I",90,0)+IF(S25="I",180,0)+IF(T25="I",105,0)+IF(U25="I",180,0)+IF(V25="I",180,0)+IF(W25="I",120,0)+IF(X25="I",120,0)+IF(Y25="I",180,0)+IF(Z25="I",180,0)+IF(AA25="I",120,0)+IF(AB25="I",180,0)+IF(AC25="I",120,0)+IF(AD25="I",150,0)+IF(AE25="I",180,0)+IF(AF25="I",180,0)+IF(AG25="I",120,0)+IF(AH25="I",120,0)+IF(AI25="I",180,0)+IF(AJ25="I",120,0)+IF(AK25="I",180,0)+IF(AL25="I",150,0)+IF(AM25="I",180,0)+IF(AN25="I",60,0)+IF(AO25="I",180,0)+IF(AP25="I",180,0)+IF(AQ25="I",180,0)+IF(AR25="I",195,0)+IF(AS25="I",60,0)+IF(AT25="I",60,0)+IF(M25="AA",225,0)+IF(N25="AA",115,0)+IF(O25="AA",225,0)+IF(P25="AA",225,0)+IF(Q25="AA",225,0)+IF(R25="AA",115,0)+IF(S25="AA",225,0)+IF(T25="AA",135,0)+IF(U25="AA",225,0)+IF(V25="AA",225,0)+IF(W25="AA",150,0)+IF(X25="AA",150,0)+IF(Y25="AA",225,0)+IF(Z25="AA",225,0)+IF(AA25="AA",150,0)+IF(AB25="AA",225,0)+IF(AC25="AA",150,0)+IF(AD25="AA",190,0)+IF(AE25="AA",225,0)+IF(AF25="AA",225,0)+IF(AG25="AA",150,0)+IF(AH25="AA",150,0)+IF(AI25="AA",225,0)+IF(AJ25="AA",150,0)+IF(AK25="AA",225,0)+IF(AL25="AA",190,0)+IF(AM25="AA",225,0)+IF(AN25="AA",75,0)+IF(AO25="AA",225,0)+IF(AP25="AA",225,0)+IF(AQ25="AA",225,0)+IF(AR25="AA",245,0)+IF(AS25="AA",75,0)+IF(AT25="AA",75,0)</f>
        <v>1330</v>
      </c>
      <c r="I25" s="29">
        <f>COUNTIF(M25,"I")+COUNTIF(M25,"AA")+COUNTIF(M25,"S")+COUNTIF(N25,"I")+COUNTIF(N25,"AA")+COUNTIF(N25,"S")+COUNTIF(P25,"I")+COUNTIF(P25,"AA")+COUNTIF(P25,"S")+COUNTIF(R25,"I")+COUNTIF(R25,"AA")+COUNTIF(R25,"S")+COUNTIF(T25,"I")+COUNTIF(T25,"AA")+COUNTIF(T25,"S")+COUNTIF(V25,"I")+COUNTIF(V25,"AA")+COUNTIF(V25,"S")+COUNTIF(Y25,"I")+COUNTIF(Y25,"AA")+COUNTIF(Y25,"S")+COUNTIF(AA25,"I")+COUNTIF(AA25,"AA")+COUNTIF(AA25,"S")+COUNTIF(AC25,"I")+COUNTIF(AC25,"AA")+COUNTIF(AC25,"S")+COUNTIF(AD25,"I")+COUNTIF(AD25,"AA")+COUNTIF(AD25,"S")+COUNTIF(AF25,"I")+COUNTIF(AF25,"AA")+COUNTIF(AF25,"S")+COUNTIF(AH25,"I")+COUNTIF(AH25,"AA")+COUNTIF(AH25,"S")+COUNTIF(AK25,"I")+COUNTIF(AK25,"AA")+COUNTIF(AK25,"S")+COUNTIF(AM25,"I")+COUNTIF(AM25,"AA")+COUNTIF(AM25,"S")+COUNTIF(AP25,"I")+COUNTIF(AP25,"AA")+COUNTIF(AP25,"S")+COUNTIF(AR25,"I")+COUNTIF(AR25,"AA")+COUNTIF(AR25,"S")+COUNTIF(AT25,"I")+COUNTIF(AT25,"AA")+COUNTIF(AT25,"S")</f>
        <v>5</v>
      </c>
      <c r="J25" s="29">
        <f>COUNTIF(O25,"I")+COUNTIF(O25,"AA")+COUNTIF(O25,"S")+COUNTIF(Q25,"I")+COUNTIF(Q25,"AA")+COUNTIF(Q25,"S")+COUNTIF(S25,"I")+COUNTIF(S25,"AA")+COUNTIF(S25,"S")+COUNTIF(U25,"I")+COUNTIF(U25,"AA")+COUNTIF(U25,"S")+COUNTIF(W25,"I")+COUNTIF(W25,"AA")+COUNTIF(W25,"S")+COUNTIF(X25,"I")+COUNTIF(X25,"AA")+COUNTIF(X25,"S")+COUNTIF(Z25,"I")+COUNTIF(Z25,"AA")+COUNTIF(Z25,"S")+COUNTIF(AB25,"I")+COUNTIF(AB25,"AA")+COUNTIF(AB25,"S")+COUNTIF(AE25,"I")+COUNTIF(AE25,"AA")+COUNTIF(AE25,"S")+COUNTIF(AG25,"I")+COUNTIF(AG25,"AA")+COUNTIF(AG25,"S")+COUNTIF(AI25,"I")+COUNTIF(AI25,"AA")+COUNTIF(AI25,"S")+COUNTIF(AJ25,"I")+COUNTIF(AJ25,"AA")+COUNTIF(AJ25,"S")+COUNTIF(AL25,"I")+COUNTIF(AL25,"AA")+COUNTIF(AL25,"S")+COUNTIF(AN25,"I")+COUNTIF(AN25,"AA")+COUNTIF(AN25,"S")+COUNTIF(AO25,"I")+COUNTIF(AO25,"AA")+COUNTIF(AO25,"S")+COUNTIF(AQ25,"I")+COUNTIF(AQ25,"AA")+COUNTIF(AQ25,"S")+COUNTIF(AS25,"I")+COUNTIF(AS25,"AA")+COUNTIF(AS25,"S")</f>
        <v>7</v>
      </c>
      <c r="K25" s="29">
        <f>IF(AND((COUNTIF(N25,"I")+COUNTIF(N25,"AA")+COUNTIF(N25,"S"))&gt;0,(COUNTIF(O25,"I")+COUNTIF(O25,"AA")+COUNTIF(O25,"S"))&gt;0),1,0)+IF(AND((COUNTIF(P25,"I")+COUNTIF(P25,"AA")+COUNTIF(P25,"S"))&gt;0,(COUNTIF(Q25,"I")+COUNTIF(Q25,"AA")+COUNTIF(Q25,"S"))&gt;0),1,0)+IF(AND((COUNTIF(R25,"I")+COUNTIF(R25,"AA")+COUNTIF(R25,"S"))&gt;0,(COUNTIF(S25,"I")+COUNTIF(S25,"AA")+COUNTIF(S25,"S"))&gt;0),1,0)+IF(AND((COUNTIF(T25,"I")+COUNTIF(T25,"AA")+COUNTIF(T25,"S"))&gt;0,(COUNTIF(U25,"I")+COUNTIF(U25,"AA")+COUNTIF(U25,"S"))&gt;0),1,0)+IF(AND((COUNTIF(V25,"I")+COUNTIF(V25,"AA")+COUNTIF(V25,"S"))&gt;0,(COUNTIF(W25,"I")+COUNTIF(W25,"AA")+COUNTIF(W25,"S"))&gt;0),1,0)+IF(AND((COUNTIF(Y25,"I")+COUNTIF(Y25,"AA")+COUNTIF(Y25,"S"))&gt;0,(COUNTIF(Z25,"I")+COUNTIF(Z25,"AA")+COUNTIF(Z25,"S"))&gt;0),1,0)+IF(AND((COUNTIF(AA25,"I")+COUNTIF(AA25,"AA")+COUNTIF(AA25,"S"))&gt;0,(COUNTIF(AB25,"I")+COUNTIF(AB25,"AA")+COUNTIF(AB25,"S"))&gt;0),1,0)+IF(AND((COUNTIF(AD25,"I")+COUNTIF(AD25,"AA")+COUNTIF(AD25,"S"))&gt;0,(COUNTIF(AE25,"I")+COUNTIF(AE25,"AA")+COUNTIF(AE25,"S"))&gt;0),1,0)+IF(AND((COUNTIF(AF25,"I")+COUNTIF(AF25,"AA")+COUNTIF(AF25,"S"))&gt;0,(COUNTIF(AG25,"I")+COUNTIF(AG25,"AA")+COUNTIF(AG25,"S"))&gt;0),1,0)+IF(AND((COUNTIF(AH25,"I")+COUNTIF(AH25,"AA")+COUNTIF(AH25,"S"))&gt;0,(COUNTIF(AI25,"I")+COUNTIF(AI25,"AA")+COUNTIF(AI25,"S"))&gt;0),1,0)+IF(AND((COUNTIF(AK25,"I")+COUNTIF(AK25,"AA")+COUNTIF(AK25,"S"))&gt;0,(COUNTIF(AL25,"I")+COUNTIF(AL25,"AA")+COUNTIF(AL25,"S"))&gt;0),1,0)+IF(AND((COUNTIF(AM25,"I")+COUNTIF(AM25,"AA")+COUNTIF(AM25,"S"))&gt;0,(COUNTIF(AN25,"I")+COUNTIF(AN25,"AA")+COUNTIF(AN25,"S"))&gt;0),1,0)+IF(AND((COUNTIF(AP25,"I")+COUNTIF(AP25,"AA")+COUNTIF(AP25,"S"))&gt;0,(COUNTIF(AQ25,"I")+COUNTIF(AQ25,"AA")+COUNTIF(AQ25,"S"))&gt;0),1,0)+IF(AND((COUNTIF(AR25,"I")+COUNTIF(AR25,"AA")+COUNTIF(AR25,"S"))&gt;0,(COUNTIF(AS25,"I")+COUNTIF(AS25,"AA")+COUNTIF(AS25,"S"))&gt;0),1,0)</f>
        <v>0</v>
      </c>
      <c r="L25" s="22"/>
      <c r="M25" s="24"/>
      <c r="N25" s="24"/>
      <c r="O25" s="34" t="s">
        <v>285</v>
      </c>
      <c r="P25" s="24"/>
      <c r="Q25" s="24"/>
      <c r="R25" s="34" t="s">
        <v>24</v>
      </c>
      <c r="S25" s="24"/>
      <c r="T25" s="34" t="s">
        <v>24</v>
      </c>
      <c r="U25" s="24"/>
      <c r="V25" s="24"/>
      <c r="W25" s="24"/>
      <c r="X25" s="34" t="s">
        <v>284</v>
      </c>
      <c r="Y25" s="24"/>
      <c r="Z25" s="24"/>
      <c r="AA25" s="34" t="s">
        <v>284</v>
      </c>
      <c r="AB25" s="24"/>
      <c r="AC25" s="24"/>
      <c r="AD25" s="24"/>
      <c r="AE25" s="34" t="s">
        <v>24</v>
      </c>
      <c r="AF25" s="24"/>
      <c r="AG25" s="24"/>
      <c r="AH25" s="24"/>
      <c r="AI25" s="34" t="s">
        <v>285</v>
      </c>
      <c r="AJ25" s="24"/>
      <c r="AK25" s="24"/>
      <c r="AL25" s="34" t="s">
        <v>284</v>
      </c>
      <c r="AM25" s="24" t="s">
        <v>283</v>
      </c>
      <c r="AN25" s="34" t="s">
        <v>285</v>
      </c>
      <c r="AO25" s="24"/>
      <c r="AP25" s="24"/>
      <c r="AQ25" s="34" t="s">
        <v>285</v>
      </c>
      <c r="AR25" s="34" t="s">
        <v>285</v>
      </c>
      <c r="AS25" s="24"/>
      <c r="AT25" s="34" t="s">
        <v>285</v>
      </c>
    </row>
    <row r="26" spans="1:46" x14ac:dyDescent="0.3">
      <c r="A26" s="4" t="s">
        <v>243</v>
      </c>
      <c r="B26" s="4" t="s">
        <v>61</v>
      </c>
      <c r="C26" s="4"/>
      <c r="D26" s="29">
        <f>COUNTIF(M26:AT26,"I")</f>
        <v>5</v>
      </c>
      <c r="E26" s="29">
        <f>COUNTIF(M26:AT26,"AA")</f>
        <v>3</v>
      </c>
      <c r="F26" s="29">
        <f>D26+E26</f>
        <v>8</v>
      </c>
      <c r="G26" s="29">
        <f>COUNTIF(M26:AT26,"S")</f>
        <v>3</v>
      </c>
      <c r="H26" s="29">
        <f>IF(M26="I",180,0)+IF(N26="I",90,0)+IF(O26="I",180,0)+IF(P26="I",180,0)+IF(Q26="I",180,0)+IF(R26="I",90,0)+IF(S26="I",180,0)+IF(T26="I",105,0)+IF(U26="I",180,0)+IF(V26="I",180,0)+IF(W26="I",120,0)+IF(X26="I",120,0)+IF(Y26="I",180,0)+IF(Z26="I",180,0)+IF(AA26="I",120,0)+IF(AB26="I",180,0)+IF(AC26="I",120,0)+IF(AD26="I",150,0)+IF(AE26="I",180,0)+IF(AF26="I",180,0)+IF(AG26="I",120,0)+IF(AH26="I",120,0)+IF(AI26="I",180,0)+IF(AJ26="I",120,0)+IF(AK26="I",180,0)+IF(AL26="I",150,0)+IF(AM26="I",180,0)+IF(AN26="I",60,0)+IF(AO26="I",180,0)+IF(AP26="I",180,0)+IF(AQ26="I",180,0)+IF(AR26="I",195,0)+IF(AS26="I",60,0)+IF(AT26="I",60,0)+IF(M26="AA",225,0)+IF(N26="AA",115,0)+IF(O26="AA",225,0)+IF(P26="AA",225,0)+IF(Q26="AA",225,0)+IF(R26="AA",115,0)+IF(S26="AA",225,0)+IF(T26="AA",135,0)+IF(U26="AA",225,0)+IF(V26="AA",225,0)+IF(W26="AA",150,0)+IF(X26="AA",150,0)+IF(Y26="AA",225,0)+IF(Z26="AA",225,0)+IF(AA26="AA",150,0)+IF(AB26="AA",225,0)+IF(AC26="AA",150,0)+IF(AD26="AA",190,0)+IF(AE26="AA",225,0)+IF(AF26="AA",225,0)+IF(AG26="AA",150,0)+IF(AH26="AA",150,0)+IF(AI26="AA",225,0)+IF(AJ26="AA",150,0)+IF(AK26="AA",225,0)+IF(AL26="AA",190,0)+IF(AM26="AA",225,0)+IF(AN26="AA",75,0)+IF(AO26="AA",225,0)+IF(AP26="AA",225,0)+IF(AQ26="AA",225,0)+IF(AR26="AA",245,0)+IF(AS26="AA",75,0)+IF(AT26="AA",75,0)</f>
        <v>1330</v>
      </c>
      <c r="I26" s="29">
        <f>COUNTIF(M26,"I")+COUNTIF(M26,"AA")+COUNTIF(M26,"S")+COUNTIF(N26,"I")+COUNTIF(N26,"AA")+COUNTIF(N26,"S")+COUNTIF(P26,"I")+COUNTIF(P26,"AA")+COUNTIF(P26,"S")+COUNTIF(R26,"I")+COUNTIF(R26,"AA")+COUNTIF(R26,"S")+COUNTIF(T26,"I")+COUNTIF(T26,"AA")+COUNTIF(T26,"S")+COUNTIF(V26,"I")+COUNTIF(V26,"AA")+COUNTIF(V26,"S")+COUNTIF(Y26,"I")+COUNTIF(Y26,"AA")+COUNTIF(Y26,"S")+COUNTIF(AA26,"I")+COUNTIF(AA26,"AA")+COUNTIF(AA26,"S")+COUNTIF(AC26,"I")+COUNTIF(AC26,"AA")+COUNTIF(AC26,"S")+COUNTIF(AD26,"I")+COUNTIF(AD26,"AA")+COUNTIF(AD26,"S")+COUNTIF(AF26,"I")+COUNTIF(AF26,"AA")+COUNTIF(AF26,"S")+COUNTIF(AH26,"I")+COUNTIF(AH26,"AA")+COUNTIF(AH26,"S")+COUNTIF(AK26,"I")+COUNTIF(AK26,"AA")+COUNTIF(AK26,"S")+COUNTIF(AM26,"I")+COUNTIF(AM26,"AA")+COUNTIF(AM26,"S")+COUNTIF(AP26,"I")+COUNTIF(AP26,"AA")+COUNTIF(AP26,"S")+COUNTIF(AR26,"I")+COUNTIF(AR26,"AA")+COUNTIF(AR26,"S")+COUNTIF(AT26,"I")+COUNTIF(AT26,"AA")+COUNTIF(AT26,"S")</f>
        <v>7</v>
      </c>
      <c r="J26" s="29">
        <f>COUNTIF(O26,"I")+COUNTIF(O26,"AA")+COUNTIF(O26,"S")+COUNTIF(Q26,"I")+COUNTIF(Q26,"AA")+COUNTIF(Q26,"S")+COUNTIF(S26,"I")+COUNTIF(S26,"AA")+COUNTIF(S26,"S")+COUNTIF(U26,"I")+COUNTIF(U26,"AA")+COUNTIF(U26,"S")+COUNTIF(W26,"I")+COUNTIF(W26,"AA")+COUNTIF(W26,"S")+COUNTIF(X26,"I")+COUNTIF(X26,"AA")+COUNTIF(X26,"S")+COUNTIF(Z26,"I")+COUNTIF(Z26,"AA")+COUNTIF(Z26,"S")+COUNTIF(AB26,"I")+COUNTIF(AB26,"AA")+COUNTIF(AB26,"S")+COUNTIF(AE26,"I")+COUNTIF(AE26,"AA")+COUNTIF(AE26,"S")+COUNTIF(AG26,"I")+COUNTIF(AG26,"AA")+COUNTIF(AG26,"S")+COUNTIF(AI26,"I")+COUNTIF(AI26,"AA")+COUNTIF(AI26,"S")+COUNTIF(AJ26,"I")+COUNTIF(AJ26,"AA")+COUNTIF(AJ26,"S")+COUNTIF(AL26,"I")+COUNTIF(AL26,"AA")+COUNTIF(AL26,"S")+COUNTIF(AN26,"I")+COUNTIF(AN26,"AA")+COUNTIF(AN26,"S")+COUNTIF(AO26,"I")+COUNTIF(AO26,"AA")+COUNTIF(AO26,"S")+COUNTIF(AQ26,"I")+COUNTIF(AQ26,"AA")+COUNTIF(AQ26,"S")+COUNTIF(AS26,"I")+COUNTIF(AS26,"AA")+COUNTIF(AS26,"S")</f>
        <v>4</v>
      </c>
      <c r="K26" s="29">
        <f>IF(AND((COUNTIF(N26,"I")+COUNTIF(N26,"AA")+COUNTIF(N26,"S"))&gt;0,(COUNTIF(O26,"I")+COUNTIF(O26,"AA")+COUNTIF(O26,"S"))&gt;0),1,0)+IF(AND((COUNTIF(P26,"I")+COUNTIF(P26,"AA")+COUNTIF(P26,"S"))&gt;0,(COUNTIF(Q26,"I")+COUNTIF(Q26,"AA")+COUNTIF(Q26,"S"))&gt;0),1,0)+IF(AND((COUNTIF(R26,"I")+COUNTIF(R26,"AA")+COUNTIF(R26,"S"))&gt;0,(COUNTIF(S26,"I")+COUNTIF(S26,"AA")+COUNTIF(S26,"S"))&gt;0),1,0)+IF(AND((COUNTIF(T26,"I")+COUNTIF(T26,"AA")+COUNTIF(T26,"S"))&gt;0,(COUNTIF(U26,"I")+COUNTIF(U26,"AA")+COUNTIF(U26,"S"))&gt;0),1,0)+IF(AND((COUNTIF(V26,"I")+COUNTIF(V26,"AA")+COUNTIF(V26,"S"))&gt;0,(COUNTIF(W26,"I")+COUNTIF(W26,"AA")+COUNTIF(W26,"S"))&gt;0),1,0)+IF(AND((COUNTIF(Y26,"I")+COUNTIF(Y26,"AA")+COUNTIF(Y26,"S"))&gt;0,(COUNTIF(Z26,"I")+COUNTIF(Z26,"AA")+COUNTIF(Z26,"S"))&gt;0),1,0)+IF(AND((COUNTIF(AA26,"I")+COUNTIF(AA26,"AA")+COUNTIF(AA26,"S"))&gt;0,(COUNTIF(AB26,"I")+COUNTIF(AB26,"AA")+COUNTIF(AB26,"S"))&gt;0),1,0)+IF(AND((COUNTIF(AD26,"I")+COUNTIF(AD26,"AA")+COUNTIF(AD26,"S"))&gt;0,(COUNTIF(AE26,"I")+COUNTIF(AE26,"AA")+COUNTIF(AE26,"S"))&gt;0),1,0)+IF(AND((COUNTIF(AF26,"I")+COUNTIF(AF26,"AA")+COUNTIF(AF26,"S"))&gt;0,(COUNTIF(AG26,"I")+COUNTIF(AG26,"AA")+COUNTIF(AG26,"S"))&gt;0),1,0)+IF(AND((COUNTIF(AH26,"I")+COUNTIF(AH26,"AA")+COUNTIF(AH26,"S"))&gt;0,(COUNTIF(AI26,"I")+COUNTIF(AI26,"AA")+COUNTIF(AI26,"S"))&gt;0),1,0)+IF(AND((COUNTIF(AK26,"I")+COUNTIF(AK26,"AA")+COUNTIF(AK26,"S"))&gt;0,(COUNTIF(AL26,"I")+COUNTIF(AL26,"AA")+COUNTIF(AL26,"S"))&gt;0),1,0)+IF(AND((COUNTIF(AM26,"I")+COUNTIF(AM26,"AA")+COUNTIF(AM26,"S"))&gt;0,(COUNTIF(AN26,"I")+COUNTIF(AN26,"AA")+COUNTIF(AN26,"S"))&gt;0),1,0)+IF(AND((COUNTIF(AP26,"I")+COUNTIF(AP26,"AA")+COUNTIF(AP26,"S"))&gt;0,(COUNTIF(AQ26,"I")+COUNTIF(AQ26,"AA")+COUNTIF(AQ26,"S"))&gt;0),1,0)+IF(AND((COUNTIF(AR26,"I")+COUNTIF(AR26,"AA")+COUNTIF(AR26,"S"))&gt;0,(COUNTIF(AS26,"I")+COUNTIF(AS26,"AA")+COUNTIF(AS26,"S"))&gt;0),1,0)</f>
        <v>0</v>
      </c>
      <c r="L26" s="22"/>
      <c r="M26" s="24"/>
      <c r="N26" s="24"/>
      <c r="O26" s="34" t="s">
        <v>285</v>
      </c>
      <c r="P26" s="24"/>
      <c r="Q26" s="34" t="s">
        <v>285</v>
      </c>
      <c r="R26" s="34" t="s">
        <v>24</v>
      </c>
      <c r="S26" s="24"/>
      <c r="T26" s="34" t="s">
        <v>284</v>
      </c>
      <c r="U26" s="24"/>
      <c r="V26" s="24"/>
      <c r="W26" s="34" t="s">
        <v>24</v>
      </c>
      <c r="X26" s="34" t="s">
        <v>285</v>
      </c>
      <c r="Y26" s="34" t="s">
        <v>285</v>
      </c>
      <c r="Z26" s="24"/>
      <c r="AA26" s="34" t="s">
        <v>284</v>
      </c>
      <c r="AB26" s="24"/>
      <c r="AC26" s="24"/>
      <c r="AD26" s="24"/>
      <c r="AE26" s="24"/>
      <c r="AF26" s="24"/>
      <c r="AG26" s="24"/>
      <c r="AH26" s="24"/>
      <c r="AI26" s="24" t="s">
        <v>283</v>
      </c>
      <c r="AJ26" s="24"/>
      <c r="AK26" s="34" t="s">
        <v>24</v>
      </c>
      <c r="AL26" s="24"/>
      <c r="AM26" s="24"/>
      <c r="AN26" s="24"/>
      <c r="AO26" s="24"/>
      <c r="AP26" s="34" t="s">
        <v>285</v>
      </c>
      <c r="AQ26" s="24"/>
      <c r="AR26" s="34" t="s">
        <v>284</v>
      </c>
      <c r="AS26" s="24"/>
      <c r="AT26" s="24"/>
    </row>
    <row r="27" spans="1:46" x14ac:dyDescent="0.3">
      <c r="A27" s="4" t="s">
        <v>244</v>
      </c>
      <c r="B27" s="4" t="s">
        <v>61</v>
      </c>
      <c r="C27" s="4"/>
      <c r="D27" s="29">
        <f>COUNTIF(M27:AT27,"I")</f>
        <v>5</v>
      </c>
      <c r="E27" s="29">
        <f>COUNTIF(M27:AT27,"AA")</f>
        <v>3</v>
      </c>
      <c r="F27" s="29">
        <f>D27+E27</f>
        <v>8</v>
      </c>
      <c r="G27" s="29">
        <f>COUNTIF(M27:AT27,"S")</f>
        <v>2</v>
      </c>
      <c r="H27" s="29">
        <f>IF(M27="I",180,0)+IF(N27="I",90,0)+IF(O27="I",180,0)+IF(P27="I",180,0)+IF(Q27="I",180,0)+IF(R27="I",90,0)+IF(S27="I",180,0)+IF(T27="I",105,0)+IF(U27="I",180,0)+IF(V27="I",180,0)+IF(W27="I",120,0)+IF(X27="I",120,0)+IF(Y27="I",180,0)+IF(Z27="I",180,0)+IF(AA27="I",120,0)+IF(AB27="I",180,0)+IF(AC27="I",120,0)+IF(AD27="I",150,0)+IF(AE27="I",180,0)+IF(AF27="I",180,0)+IF(AG27="I",120,0)+IF(AH27="I",120,0)+IF(AI27="I",180,0)+IF(AJ27="I",120,0)+IF(AK27="I",180,0)+IF(AL27="I",150,0)+IF(AM27="I",180,0)+IF(AN27="I",60,0)+IF(AO27="I",180,0)+IF(AP27="I",180,0)+IF(AQ27="I",180,0)+IF(AR27="I",195,0)+IF(AS27="I",60,0)+IF(AT27="I",60,0)+IF(M27="AA",225,0)+IF(N27="AA",115,0)+IF(O27="AA",225,0)+IF(P27="AA",225,0)+IF(Q27="AA",225,0)+IF(R27="AA",115,0)+IF(S27="AA",225,0)+IF(T27="AA",135,0)+IF(U27="AA",225,0)+IF(V27="AA",225,0)+IF(W27="AA",150,0)+IF(X27="AA",150,0)+IF(Y27="AA",225,0)+IF(Z27="AA",225,0)+IF(AA27="AA",150,0)+IF(AB27="AA",225,0)+IF(AC27="AA",150,0)+IF(AD27="AA",190,0)+IF(AE27="AA",225,0)+IF(AF27="AA",225,0)+IF(AG27="AA",150,0)+IF(AH27="AA",150,0)+IF(AI27="AA",225,0)+IF(AJ27="AA",150,0)+IF(AK27="AA",225,0)+IF(AL27="AA",190,0)+IF(AM27="AA",225,0)+IF(AN27="AA",75,0)+IF(AO27="AA",225,0)+IF(AP27="AA",225,0)+IF(AQ27="AA",225,0)+IF(AR27="AA",245,0)+IF(AS27="AA",75,0)+IF(AT27="AA",75,0)</f>
        <v>1305</v>
      </c>
      <c r="I27" s="29">
        <f>COUNTIF(M27,"I")+COUNTIF(M27,"AA")+COUNTIF(M27,"S")+COUNTIF(N27,"I")+COUNTIF(N27,"AA")+COUNTIF(N27,"S")+COUNTIF(P27,"I")+COUNTIF(P27,"AA")+COUNTIF(P27,"S")+COUNTIF(R27,"I")+COUNTIF(R27,"AA")+COUNTIF(R27,"S")+COUNTIF(T27,"I")+COUNTIF(T27,"AA")+COUNTIF(T27,"S")+COUNTIF(V27,"I")+COUNTIF(V27,"AA")+COUNTIF(V27,"S")+COUNTIF(Y27,"I")+COUNTIF(Y27,"AA")+COUNTIF(Y27,"S")+COUNTIF(AA27,"I")+COUNTIF(AA27,"AA")+COUNTIF(AA27,"S")+COUNTIF(AC27,"I")+COUNTIF(AC27,"AA")+COUNTIF(AC27,"S")+COUNTIF(AD27,"I")+COUNTIF(AD27,"AA")+COUNTIF(AD27,"S")+COUNTIF(AF27,"I")+COUNTIF(AF27,"AA")+COUNTIF(AF27,"S")+COUNTIF(AH27,"I")+COUNTIF(AH27,"AA")+COUNTIF(AH27,"S")+COUNTIF(AK27,"I")+COUNTIF(AK27,"AA")+COUNTIF(AK27,"S")+COUNTIF(AM27,"I")+COUNTIF(AM27,"AA")+COUNTIF(AM27,"S")+COUNTIF(AP27,"I")+COUNTIF(AP27,"AA")+COUNTIF(AP27,"S")+COUNTIF(AR27,"I")+COUNTIF(AR27,"AA")+COUNTIF(AR27,"S")+COUNTIF(AT27,"I")+COUNTIF(AT27,"AA")+COUNTIF(AT27,"S")</f>
        <v>3</v>
      </c>
      <c r="J27" s="29">
        <f>COUNTIF(O27,"I")+COUNTIF(O27,"AA")+COUNTIF(O27,"S")+COUNTIF(Q27,"I")+COUNTIF(Q27,"AA")+COUNTIF(Q27,"S")+COUNTIF(S27,"I")+COUNTIF(S27,"AA")+COUNTIF(S27,"S")+COUNTIF(U27,"I")+COUNTIF(U27,"AA")+COUNTIF(U27,"S")+COUNTIF(W27,"I")+COUNTIF(W27,"AA")+COUNTIF(W27,"S")+COUNTIF(X27,"I")+COUNTIF(X27,"AA")+COUNTIF(X27,"S")+COUNTIF(Z27,"I")+COUNTIF(Z27,"AA")+COUNTIF(Z27,"S")+COUNTIF(AB27,"I")+COUNTIF(AB27,"AA")+COUNTIF(AB27,"S")+COUNTIF(AE27,"I")+COUNTIF(AE27,"AA")+COUNTIF(AE27,"S")+COUNTIF(AG27,"I")+COUNTIF(AG27,"AA")+COUNTIF(AG27,"S")+COUNTIF(AI27,"I")+COUNTIF(AI27,"AA")+COUNTIF(AI27,"S")+COUNTIF(AJ27,"I")+COUNTIF(AJ27,"AA")+COUNTIF(AJ27,"S")+COUNTIF(AL27,"I")+COUNTIF(AL27,"AA")+COUNTIF(AL27,"S")+COUNTIF(AN27,"I")+COUNTIF(AN27,"AA")+COUNTIF(AN27,"S")+COUNTIF(AO27,"I")+COUNTIF(AO27,"AA")+COUNTIF(AO27,"S")+COUNTIF(AQ27,"I")+COUNTIF(AQ27,"AA")+COUNTIF(AQ27,"S")+COUNTIF(AS27,"I")+COUNTIF(AS27,"AA")+COUNTIF(AS27,"S")</f>
        <v>7</v>
      </c>
      <c r="K27" s="29">
        <f>IF(AND((COUNTIF(N27,"I")+COUNTIF(N27,"AA")+COUNTIF(N27,"S"))&gt;0,(COUNTIF(O27,"I")+COUNTIF(O27,"AA")+COUNTIF(O27,"S"))&gt;0),1,0)+IF(AND((COUNTIF(P27,"I")+COUNTIF(P27,"AA")+COUNTIF(P27,"S"))&gt;0,(COUNTIF(Q27,"I")+COUNTIF(Q27,"AA")+COUNTIF(Q27,"S"))&gt;0),1,0)+IF(AND((COUNTIF(R27,"I")+COUNTIF(R27,"AA")+COUNTIF(R27,"S"))&gt;0,(COUNTIF(S27,"I")+COUNTIF(S27,"AA")+COUNTIF(S27,"S"))&gt;0),1,0)+IF(AND((COUNTIF(T27,"I")+COUNTIF(T27,"AA")+COUNTIF(T27,"S"))&gt;0,(COUNTIF(U27,"I")+COUNTIF(U27,"AA")+COUNTIF(U27,"S"))&gt;0),1,0)+IF(AND((COUNTIF(V27,"I")+COUNTIF(V27,"AA")+COUNTIF(V27,"S"))&gt;0,(COUNTIF(W27,"I")+COUNTIF(W27,"AA")+COUNTIF(W27,"S"))&gt;0),1,0)+IF(AND((COUNTIF(Y27,"I")+COUNTIF(Y27,"AA")+COUNTIF(Y27,"S"))&gt;0,(COUNTIF(Z27,"I")+COUNTIF(Z27,"AA")+COUNTIF(Z27,"S"))&gt;0),1,0)+IF(AND((COUNTIF(AA27,"I")+COUNTIF(AA27,"AA")+COUNTIF(AA27,"S"))&gt;0,(COUNTIF(AB27,"I")+COUNTIF(AB27,"AA")+COUNTIF(AB27,"S"))&gt;0),1,0)+IF(AND((COUNTIF(AD27,"I")+COUNTIF(AD27,"AA")+COUNTIF(AD27,"S"))&gt;0,(COUNTIF(AE27,"I")+COUNTIF(AE27,"AA")+COUNTIF(AE27,"S"))&gt;0),1,0)+IF(AND((COUNTIF(AF27,"I")+COUNTIF(AF27,"AA")+COUNTIF(AF27,"S"))&gt;0,(COUNTIF(AG27,"I")+COUNTIF(AG27,"AA")+COUNTIF(AG27,"S"))&gt;0),1,0)+IF(AND((COUNTIF(AH27,"I")+COUNTIF(AH27,"AA")+COUNTIF(AH27,"S"))&gt;0,(COUNTIF(AI27,"I")+COUNTIF(AI27,"AA")+COUNTIF(AI27,"S"))&gt;0),1,0)+IF(AND((COUNTIF(AK27,"I")+COUNTIF(AK27,"AA")+COUNTIF(AK27,"S"))&gt;0,(COUNTIF(AL27,"I")+COUNTIF(AL27,"AA")+COUNTIF(AL27,"S"))&gt;0),1,0)+IF(AND((COUNTIF(AM27,"I")+COUNTIF(AM27,"AA")+COUNTIF(AM27,"S"))&gt;0,(COUNTIF(AN27,"I")+COUNTIF(AN27,"AA")+COUNTIF(AN27,"S"))&gt;0),1,0)+IF(AND((COUNTIF(AP27,"I")+COUNTIF(AP27,"AA")+COUNTIF(AP27,"S"))&gt;0,(COUNTIF(AQ27,"I")+COUNTIF(AQ27,"AA")+COUNTIF(AQ27,"S"))&gt;0),1,0)+IF(AND((COUNTIF(AR27,"I")+COUNTIF(AR27,"AA")+COUNTIF(AR27,"S"))&gt;0,(COUNTIF(AS27,"I")+COUNTIF(AS27,"AA")+COUNTIF(AS27,"S"))&gt;0),1,0)</f>
        <v>0</v>
      </c>
      <c r="L27" s="22"/>
      <c r="M27" s="24"/>
      <c r="N27" s="24"/>
      <c r="O27" s="34" t="s">
        <v>285</v>
      </c>
      <c r="P27" s="24"/>
      <c r="Q27" s="24"/>
      <c r="R27" s="24"/>
      <c r="S27" s="34" t="s">
        <v>285</v>
      </c>
      <c r="T27" s="34" t="s">
        <v>24</v>
      </c>
      <c r="U27" s="24" t="s">
        <v>283</v>
      </c>
      <c r="V27" s="24"/>
      <c r="W27" s="34" t="s">
        <v>285</v>
      </c>
      <c r="X27" s="34" t="s">
        <v>284</v>
      </c>
      <c r="Y27" s="24"/>
      <c r="Z27" s="24"/>
      <c r="AA27" s="24"/>
      <c r="AB27" s="24"/>
      <c r="AC27" s="24"/>
      <c r="AD27" s="24"/>
      <c r="AE27" s="34" t="s">
        <v>24</v>
      </c>
      <c r="AF27" s="24"/>
      <c r="AG27" s="24"/>
      <c r="AH27" s="24"/>
      <c r="AI27" s="24"/>
      <c r="AJ27" s="24"/>
      <c r="AK27" s="24"/>
      <c r="AL27" s="34" t="s">
        <v>284</v>
      </c>
      <c r="AM27" s="34" t="s">
        <v>24</v>
      </c>
      <c r="AN27" s="24"/>
      <c r="AO27" s="24"/>
      <c r="AP27" s="34" t="s">
        <v>285</v>
      </c>
      <c r="AQ27" s="24"/>
      <c r="AR27" s="24"/>
      <c r="AS27" s="34" t="s">
        <v>285</v>
      </c>
      <c r="AT27" s="24"/>
    </row>
    <row r="28" spans="1:46" x14ac:dyDescent="0.3">
      <c r="A28" s="4" t="s">
        <v>245</v>
      </c>
      <c r="B28" s="4" t="s">
        <v>61</v>
      </c>
      <c r="C28" s="4"/>
      <c r="D28" s="29">
        <f>COUNTIF(M28:AT28,"I")</f>
        <v>5</v>
      </c>
      <c r="E28" s="29">
        <f>COUNTIF(M28:AT28,"AA")</f>
        <v>3</v>
      </c>
      <c r="F28" s="29">
        <f>D28+E28</f>
        <v>8</v>
      </c>
      <c r="G28" s="29">
        <f>COUNTIF(M28:AT28,"S")</f>
        <v>2</v>
      </c>
      <c r="H28" s="29">
        <f>IF(M28="I",180,0)+IF(N28="I",90,0)+IF(O28="I",180,0)+IF(P28="I",180,0)+IF(Q28="I",180,0)+IF(R28="I",90,0)+IF(S28="I",180,0)+IF(T28="I",105,0)+IF(U28="I",180,0)+IF(V28="I",180,0)+IF(W28="I",120,0)+IF(X28="I",120,0)+IF(Y28="I",180,0)+IF(Z28="I",180,0)+IF(AA28="I",120,0)+IF(AB28="I",180,0)+IF(AC28="I",120,0)+IF(AD28="I",150,0)+IF(AE28="I",180,0)+IF(AF28="I",180,0)+IF(AG28="I",120,0)+IF(AH28="I",120,0)+IF(AI28="I",180,0)+IF(AJ28="I",120,0)+IF(AK28="I",180,0)+IF(AL28="I",150,0)+IF(AM28="I",180,0)+IF(AN28="I",60,0)+IF(AO28="I",180,0)+IF(AP28="I",180,0)+IF(AQ28="I",180,0)+IF(AR28="I",195,0)+IF(AS28="I",60,0)+IF(AT28="I",60,0)+IF(M28="AA",225,0)+IF(N28="AA",115,0)+IF(O28="AA",225,0)+IF(P28="AA",225,0)+IF(Q28="AA",225,0)+IF(R28="AA",115,0)+IF(S28="AA",225,0)+IF(T28="AA",135,0)+IF(U28="AA",225,0)+IF(V28="AA",225,0)+IF(W28="AA",150,0)+IF(X28="AA",150,0)+IF(Y28="AA",225,0)+IF(Z28="AA",225,0)+IF(AA28="AA",150,0)+IF(AB28="AA",225,0)+IF(AC28="AA",150,0)+IF(AD28="AA",190,0)+IF(AE28="AA",225,0)+IF(AF28="AA",225,0)+IF(AG28="AA",150,0)+IF(AH28="AA",150,0)+IF(AI28="AA",225,0)+IF(AJ28="AA",150,0)+IF(AK28="AA",225,0)+IF(AL28="AA",190,0)+IF(AM28="AA",225,0)+IF(AN28="AA",75,0)+IF(AO28="AA",225,0)+IF(AP28="AA",225,0)+IF(AQ28="AA",225,0)+IF(AR28="AA",245,0)+IF(AS28="AA",75,0)+IF(AT28="AA",75,0)</f>
        <v>1245</v>
      </c>
      <c r="I28" s="29">
        <f>COUNTIF(M28,"I")+COUNTIF(M28,"AA")+COUNTIF(M28,"S")+COUNTIF(N28,"I")+COUNTIF(N28,"AA")+COUNTIF(N28,"S")+COUNTIF(P28,"I")+COUNTIF(P28,"AA")+COUNTIF(P28,"S")+COUNTIF(R28,"I")+COUNTIF(R28,"AA")+COUNTIF(R28,"S")+COUNTIF(T28,"I")+COUNTIF(T28,"AA")+COUNTIF(T28,"S")+COUNTIF(V28,"I")+COUNTIF(V28,"AA")+COUNTIF(V28,"S")+COUNTIF(Y28,"I")+COUNTIF(Y28,"AA")+COUNTIF(Y28,"S")+COUNTIF(AA28,"I")+COUNTIF(AA28,"AA")+COUNTIF(AA28,"S")+COUNTIF(AC28,"I")+COUNTIF(AC28,"AA")+COUNTIF(AC28,"S")+COUNTIF(AD28,"I")+COUNTIF(AD28,"AA")+COUNTIF(AD28,"S")+COUNTIF(AF28,"I")+COUNTIF(AF28,"AA")+COUNTIF(AF28,"S")+COUNTIF(AH28,"I")+COUNTIF(AH28,"AA")+COUNTIF(AH28,"S")+COUNTIF(AK28,"I")+COUNTIF(AK28,"AA")+COUNTIF(AK28,"S")+COUNTIF(AM28,"I")+COUNTIF(AM28,"AA")+COUNTIF(AM28,"S")+COUNTIF(AP28,"I")+COUNTIF(AP28,"AA")+COUNTIF(AP28,"S")+COUNTIF(AR28,"I")+COUNTIF(AR28,"AA")+COUNTIF(AR28,"S")+COUNTIF(AT28,"I")+COUNTIF(AT28,"AA")+COUNTIF(AT28,"S")</f>
        <v>6</v>
      </c>
      <c r="J28" s="29">
        <f>COUNTIF(O28,"I")+COUNTIF(O28,"AA")+COUNTIF(O28,"S")+COUNTIF(Q28,"I")+COUNTIF(Q28,"AA")+COUNTIF(Q28,"S")+COUNTIF(S28,"I")+COUNTIF(S28,"AA")+COUNTIF(S28,"S")+COUNTIF(U28,"I")+COUNTIF(U28,"AA")+COUNTIF(U28,"S")+COUNTIF(W28,"I")+COUNTIF(W28,"AA")+COUNTIF(W28,"S")+COUNTIF(X28,"I")+COUNTIF(X28,"AA")+COUNTIF(X28,"S")+COUNTIF(Z28,"I")+COUNTIF(Z28,"AA")+COUNTIF(Z28,"S")+COUNTIF(AB28,"I")+COUNTIF(AB28,"AA")+COUNTIF(AB28,"S")+COUNTIF(AE28,"I")+COUNTIF(AE28,"AA")+COUNTIF(AE28,"S")+COUNTIF(AG28,"I")+COUNTIF(AG28,"AA")+COUNTIF(AG28,"S")+COUNTIF(AI28,"I")+COUNTIF(AI28,"AA")+COUNTIF(AI28,"S")+COUNTIF(AJ28,"I")+COUNTIF(AJ28,"AA")+COUNTIF(AJ28,"S")+COUNTIF(AL28,"I")+COUNTIF(AL28,"AA")+COUNTIF(AL28,"S")+COUNTIF(AN28,"I")+COUNTIF(AN28,"AA")+COUNTIF(AN28,"S")+COUNTIF(AO28,"I")+COUNTIF(AO28,"AA")+COUNTIF(AO28,"S")+COUNTIF(AQ28,"I")+COUNTIF(AQ28,"AA")+COUNTIF(AQ28,"S")+COUNTIF(AS28,"I")+COUNTIF(AS28,"AA")+COUNTIF(AS28,"S")</f>
        <v>4</v>
      </c>
      <c r="K28" s="29">
        <f>IF(AND((COUNTIF(N28,"I")+COUNTIF(N28,"AA")+COUNTIF(N28,"S"))&gt;0,(COUNTIF(O28,"I")+COUNTIF(O28,"AA")+COUNTIF(O28,"S"))&gt;0),1,0)+IF(AND((COUNTIF(P28,"I")+COUNTIF(P28,"AA")+COUNTIF(P28,"S"))&gt;0,(COUNTIF(Q28,"I")+COUNTIF(Q28,"AA")+COUNTIF(Q28,"S"))&gt;0),1,0)+IF(AND((COUNTIF(R28,"I")+COUNTIF(R28,"AA")+COUNTIF(R28,"S"))&gt;0,(COUNTIF(S28,"I")+COUNTIF(S28,"AA")+COUNTIF(S28,"S"))&gt;0),1,0)+IF(AND((COUNTIF(T28,"I")+COUNTIF(T28,"AA")+COUNTIF(T28,"S"))&gt;0,(COUNTIF(U28,"I")+COUNTIF(U28,"AA")+COUNTIF(U28,"S"))&gt;0),1,0)+IF(AND((COUNTIF(V28,"I")+COUNTIF(V28,"AA")+COUNTIF(V28,"S"))&gt;0,(COUNTIF(W28,"I")+COUNTIF(W28,"AA")+COUNTIF(W28,"S"))&gt;0),1,0)+IF(AND((COUNTIF(Y28,"I")+COUNTIF(Y28,"AA")+COUNTIF(Y28,"S"))&gt;0,(COUNTIF(Z28,"I")+COUNTIF(Z28,"AA")+COUNTIF(Z28,"S"))&gt;0),1,0)+IF(AND((COUNTIF(AA28,"I")+COUNTIF(AA28,"AA")+COUNTIF(AA28,"S"))&gt;0,(COUNTIF(AB28,"I")+COUNTIF(AB28,"AA")+COUNTIF(AB28,"S"))&gt;0),1,0)+IF(AND((COUNTIF(AD28,"I")+COUNTIF(AD28,"AA")+COUNTIF(AD28,"S"))&gt;0,(COUNTIF(AE28,"I")+COUNTIF(AE28,"AA")+COUNTIF(AE28,"S"))&gt;0),1,0)+IF(AND((COUNTIF(AF28,"I")+COUNTIF(AF28,"AA")+COUNTIF(AF28,"S"))&gt;0,(COUNTIF(AG28,"I")+COUNTIF(AG28,"AA")+COUNTIF(AG28,"S"))&gt;0),1,0)+IF(AND((COUNTIF(AH28,"I")+COUNTIF(AH28,"AA")+COUNTIF(AH28,"S"))&gt;0,(COUNTIF(AI28,"I")+COUNTIF(AI28,"AA")+COUNTIF(AI28,"S"))&gt;0),1,0)+IF(AND((COUNTIF(AK28,"I")+COUNTIF(AK28,"AA")+COUNTIF(AK28,"S"))&gt;0,(COUNTIF(AL28,"I")+COUNTIF(AL28,"AA")+COUNTIF(AL28,"S"))&gt;0),1,0)+IF(AND((COUNTIF(AM28,"I")+COUNTIF(AM28,"AA")+COUNTIF(AM28,"S"))&gt;0,(COUNTIF(AN28,"I")+COUNTIF(AN28,"AA")+COUNTIF(AN28,"S"))&gt;0),1,0)+IF(AND((COUNTIF(AP28,"I")+COUNTIF(AP28,"AA")+COUNTIF(AP28,"S"))&gt;0,(COUNTIF(AQ28,"I")+COUNTIF(AQ28,"AA")+COUNTIF(AQ28,"S"))&gt;0),1,0)+IF(AND((COUNTIF(AR28,"I")+COUNTIF(AR28,"AA")+COUNTIF(AR28,"S"))&gt;0,(COUNTIF(AS28,"I")+COUNTIF(AS28,"AA")+COUNTIF(AS28,"S"))&gt;0),1,0)</f>
        <v>0</v>
      </c>
      <c r="L28" s="22"/>
      <c r="M28" s="24"/>
      <c r="N28" s="24" t="s">
        <v>283</v>
      </c>
      <c r="O28" s="24"/>
      <c r="P28" s="24"/>
      <c r="Q28" s="24"/>
      <c r="R28" s="24"/>
      <c r="S28" s="34" t="s">
        <v>285</v>
      </c>
      <c r="T28" s="34" t="s">
        <v>285</v>
      </c>
      <c r="U28" s="24"/>
      <c r="V28" s="24"/>
      <c r="W28" s="34" t="s">
        <v>285</v>
      </c>
      <c r="X28" s="24"/>
      <c r="Y28" s="24"/>
      <c r="Z28" s="24"/>
      <c r="AA28" s="24"/>
      <c r="AB28" s="24" t="s">
        <v>283</v>
      </c>
      <c r="AC28" s="34" t="s">
        <v>24</v>
      </c>
      <c r="AD28" s="24"/>
      <c r="AE28" s="34" t="s">
        <v>24</v>
      </c>
      <c r="AF28" s="24"/>
      <c r="AG28" s="24"/>
      <c r="AH28" s="34" t="s">
        <v>284</v>
      </c>
      <c r="AI28" s="24"/>
      <c r="AJ28" s="24"/>
      <c r="AK28" s="34" t="s">
        <v>284</v>
      </c>
      <c r="AL28" s="24"/>
      <c r="AM28" s="34" t="s">
        <v>24</v>
      </c>
      <c r="AN28" s="24" t="s">
        <v>283</v>
      </c>
      <c r="AO28" s="24"/>
      <c r="AP28" s="34" t="s">
        <v>285</v>
      </c>
      <c r="AQ28" s="24"/>
      <c r="AR28" s="24"/>
      <c r="AS28" s="34" t="s">
        <v>285</v>
      </c>
      <c r="AT28" s="24"/>
    </row>
    <row r="29" spans="1:46" x14ac:dyDescent="0.3">
      <c r="A29" s="4" t="s">
        <v>246</v>
      </c>
      <c r="B29" s="4" t="s">
        <v>61</v>
      </c>
      <c r="C29" s="4"/>
      <c r="D29" s="29">
        <f>COUNTIF(M29:AT29,"I")</f>
        <v>5</v>
      </c>
      <c r="E29" s="29">
        <f>COUNTIF(M29:AT29,"AA")</f>
        <v>3</v>
      </c>
      <c r="F29" s="29">
        <f>D29+E29</f>
        <v>8</v>
      </c>
      <c r="G29" s="29">
        <f>COUNTIF(M29:AT29,"S")</f>
        <v>2</v>
      </c>
      <c r="H29" s="29">
        <f>IF(M29="I",180,0)+IF(N29="I",90,0)+IF(O29="I",180,0)+IF(P29="I",180,0)+IF(Q29="I",180,0)+IF(R29="I",90,0)+IF(S29="I",180,0)+IF(T29="I",105,0)+IF(U29="I",180,0)+IF(V29="I",180,0)+IF(W29="I",120,0)+IF(X29="I",120,0)+IF(Y29="I",180,0)+IF(Z29="I",180,0)+IF(AA29="I",120,0)+IF(AB29="I",180,0)+IF(AC29="I",120,0)+IF(AD29="I",150,0)+IF(AE29="I",180,0)+IF(AF29="I",180,0)+IF(AG29="I",120,0)+IF(AH29="I",120,0)+IF(AI29="I",180,0)+IF(AJ29="I",120,0)+IF(AK29="I",180,0)+IF(AL29="I",150,0)+IF(AM29="I",180,0)+IF(AN29="I",60,0)+IF(AO29="I",180,0)+IF(AP29="I",180,0)+IF(AQ29="I",180,0)+IF(AR29="I",195,0)+IF(AS29="I",60,0)+IF(AT29="I",60,0)+IF(M29="AA",225,0)+IF(N29="AA",115,0)+IF(O29="AA",225,0)+IF(P29="AA",225,0)+IF(Q29="AA",225,0)+IF(R29="AA",115,0)+IF(S29="AA",225,0)+IF(T29="AA",135,0)+IF(U29="AA",225,0)+IF(V29="AA",225,0)+IF(W29="AA",150,0)+IF(X29="AA",150,0)+IF(Y29="AA",225,0)+IF(Z29="AA",225,0)+IF(AA29="AA",150,0)+IF(AB29="AA",225,0)+IF(AC29="AA",150,0)+IF(AD29="AA",190,0)+IF(AE29="AA",225,0)+IF(AF29="AA",225,0)+IF(AG29="AA",150,0)+IF(AH29="AA",150,0)+IF(AI29="AA",225,0)+IF(AJ29="AA",150,0)+IF(AK29="AA",225,0)+IF(AL29="AA",190,0)+IF(AM29="AA",225,0)+IF(AN29="AA",75,0)+IF(AO29="AA",225,0)+IF(AP29="AA",225,0)+IF(AQ29="AA",225,0)+IF(AR29="AA",245,0)+IF(AS29="AA",75,0)+IF(AT29="AA",75,0)</f>
        <v>1245</v>
      </c>
      <c r="I29" s="29">
        <f>COUNTIF(M29,"I")+COUNTIF(M29,"AA")+COUNTIF(M29,"S")+COUNTIF(N29,"I")+COUNTIF(N29,"AA")+COUNTIF(N29,"S")+COUNTIF(P29,"I")+COUNTIF(P29,"AA")+COUNTIF(P29,"S")+COUNTIF(R29,"I")+COUNTIF(R29,"AA")+COUNTIF(R29,"S")+COUNTIF(T29,"I")+COUNTIF(T29,"AA")+COUNTIF(T29,"S")+COUNTIF(V29,"I")+COUNTIF(V29,"AA")+COUNTIF(V29,"S")+COUNTIF(Y29,"I")+COUNTIF(Y29,"AA")+COUNTIF(Y29,"S")+COUNTIF(AA29,"I")+COUNTIF(AA29,"AA")+COUNTIF(AA29,"S")+COUNTIF(AC29,"I")+COUNTIF(AC29,"AA")+COUNTIF(AC29,"S")+COUNTIF(AD29,"I")+COUNTIF(AD29,"AA")+COUNTIF(AD29,"S")+COUNTIF(AF29,"I")+COUNTIF(AF29,"AA")+COUNTIF(AF29,"S")+COUNTIF(AH29,"I")+COUNTIF(AH29,"AA")+COUNTIF(AH29,"S")+COUNTIF(AK29,"I")+COUNTIF(AK29,"AA")+COUNTIF(AK29,"S")+COUNTIF(AM29,"I")+COUNTIF(AM29,"AA")+COUNTIF(AM29,"S")+COUNTIF(AP29,"I")+COUNTIF(AP29,"AA")+COUNTIF(AP29,"S")+COUNTIF(AR29,"I")+COUNTIF(AR29,"AA")+COUNTIF(AR29,"S")+COUNTIF(AT29,"I")+COUNTIF(AT29,"AA")+COUNTIF(AT29,"S")</f>
        <v>6</v>
      </c>
      <c r="J29" s="29">
        <f>COUNTIF(O29,"I")+COUNTIF(O29,"AA")+COUNTIF(O29,"S")+COUNTIF(Q29,"I")+COUNTIF(Q29,"AA")+COUNTIF(Q29,"S")+COUNTIF(S29,"I")+COUNTIF(S29,"AA")+COUNTIF(S29,"S")+COUNTIF(U29,"I")+COUNTIF(U29,"AA")+COUNTIF(U29,"S")+COUNTIF(W29,"I")+COUNTIF(W29,"AA")+COUNTIF(W29,"S")+COUNTIF(X29,"I")+COUNTIF(X29,"AA")+COUNTIF(X29,"S")+COUNTIF(Z29,"I")+COUNTIF(Z29,"AA")+COUNTIF(Z29,"S")+COUNTIF(AB29,"I")+COUNTIF(AB29,"AA")+COUNTIF(AB29,"S")+COUNTIF(AE29,"I")+COUNTIF(AE29,"AA")+COUNTIF(AE29,"S")+COUNTIF(AG29,"I")+COUNTIF(AG29,"AA")+COUNTIF(AG29,"S")+COUNTIF(AI29,"I")+COUNTIF(AI29,"AA")+COUNTIF(AI29,"S")+COUNTIF(AJ29,"I")+COUNTIF(AJ29,"AA")+COUNTIF(AJ29,"S")+COUNTIF(AL29,"I")+COUNTIF(AL29,"AA")+COUNTIF(AL29,"S")+COUNTIF(AN29,"I")+COUNTIF(AN29,"AA")+COUNTIF(AN29,"S")+COUNTIF(AO29,"I")+COUNTIF(AO29,"AA")+COUNTIF(AO29,"S")+COUNTIF(AQ29,"I")+COUNTIF(AQ29,"AA")+COUNTIF(AQ29,"S")+COUNTIF(AS29,"I")+COUNTIF(AS29,"AA")+COUNTIF(AS29,"S")</f>
        <v>4</v>
      </c>
      <c r="K29" s="29">
        <f>IF(AND((COUNTIF(N29,"I")+COUNTIF(N29,"AA")+COUNTIF(N29,"S"))&gt;0,(COUNTIF(O29,"I")+COUNTIF(O29,"AA")+COUNTIF(O29,"S"))&gt;0),1,0)+IF(AND((COUNTIF(P29,"I")+COUNTIF(P29,"AA")+COUNTIF(P29,"S"))&gt;0,(COUNTIF(Q29,"I")+COUNTIF(Q29,"AA")+COUNTIF(Q29,"S"))&gt;0),1,0)+IF(AND((COUNTIF(R29,"I")+COUNTIF(R29,"AA")+COUNTIF(R29,"S"))&gt;0,(COUNTIF(S29,"I")+COUNTIF(S29,"AA")+COUNTIF(S29,"S"))&gt;0),1,0)+IF(AND((COUNTIF(T29,"I")+COUNTIF(T29,"AA")+COUNTIF(T29,"S"))&gt;0,(COUNTIF(U29,"I")+COUNTIF(U29,"AA")+COUNTIF(U29,"S"))&gt;0),1,0)+IF(AND((COUNTIF(V29,"I")+COUNTIF(V29,"AA")+COUNTIF(V29,"S"))&gt;0,(COUNTIF(W29,"I")+COUNTIF(W29,"AA")+COUNTIF(W29,"S"))&gt;0),1,0)+IF(AND((COUNTIF(Y29,"I")+COUNTIF(Y29,"AA")+COUNTIF(Y29,"S"))&gt;0,(COUNTIF(Z29,"I")+COUNTIF(Z29,"AA")+COUNTIF(Z29,"S"))&gt;0),1,0)+IF(AND((COUNTIF(AA29,"I")+COUNTIF(AA29,"AA")+COUNTIF(AA29,"S"))&gt;0,(COUNTIF(AB29,"I")+COUNTIF(AB29,"AA")+COUNTIF(AB29,"S"))&gt;0),1,0)+IF(AND((COUNTIF(AD29,"I")+COUNTIF(AD29,"AA")+COUNTIF(AD29,"S"))&gt;0,(COUNTIF(AE29,"I")+COUNTIF(AE29,"AA")+COUNTIF(AE29,"S"))&gt;0),1,0)+IF(AND((COUNTIF(AF29,"I")+COUNTIF(AF29,"AA")+COUNTIF(AF29,"S"))&gt;0,(COUNTIF(AG29,"I")+COUNTIF(AG29,"AA")+COUNTIF(AG29,"S"))&gt;0),1,0)+IF(AND((COUNTIF(AH29,"I")+COUNTIF(AH29,"AA")+COUNTIF(AH29,"S"))&gt;0,(COUNTIF(AI29,"I")+COUNTIF(AI29,"AA")+COUNTIF(AI29,"S"))&gt;0),1,0)+IF(AND((COUNTIF(AK29,"I")+COUNTIF(AK29,"AA")+COUNTIF(AK29,"S"))&gt;0,(COUNTIF(AL29,"I")+COUNTIF(AL29,"AA")+COUNTIF(AL29,"S"))&gt;0),1,0)+IF(AND((COUNTIF(AM29,"I")+COUNTIF(AM29,"AA")+COUNTIF(AM29,"S"))&gt;0,(COUNTIF(AN29,"I")+COUNTIF(AN29,"AA")+COUNTIF(AN29,"S"))&gt;0),1,0)+IF(AND((COUNTIF(AP29,"I")+COUNTIF(AP29,"AA")+COUNTIF(AP29,"S"))&gt;0,(COUNTIF(AQ29,"I")+COUNTIF(AQ29,"AA")+COUNTIF(AQ29,"S"))&gt;0),1,0)+IF(AND((COUNTIF(AR29,"I")+COUNTIF(AR29,"AA")+COUNTIF(AR29,"S"))&gt;0,(COUNTIF(AS29,"I")+COUNTIF(AS29,"AA")+COUNTIF(AS29,"S"))&gt;0),1,0)</f>
        <v>0</v>
      </c>
      <c r="L29" s="22"/>
      <c r="M29" s="24"/>
      <c r="N29" s="24"/>
      <c r="O29" s="24"/>
      <c r="P29" s="24"/>
      <c r="Q29" s="24"/>
      <c r="R29" s="24"/>
      <c r="S29" s="34" t="s">
        <v>285</v>
      </c>
      <c r="T29" s="34" t="s">
        <v>285</v>
      </c>
      <c r="U29" s="24"/>
      <c r="V29" s="24"/>
      <c r="W29" s="34" t="s">
        <v>285</v>
      </c>
      <c r="X29" s="24" t="s">
        <v>283</v>
      </c>
      <c r="Y29" s="24"/>
      <c r="Z29" s="24"/>
      <c r="AA29" s="24"/>
      <c r="AB29" s="24"/>
      <c r="AC29" s="34" t="s">
        <v>24</v>
      </c>
      <c r="AD29" s="24"/>
      <c r="AE29" s="34" t="s">
        <v>24</v>
      </c>
      <c r="AF29" s="24"/>
      <c r="AG29" s="24"/>
      <c r="AH29" s="34" t="s">
        <v>284</v>
      </c>
      <c r="AI29" s="24"/>
      <c r="AJ29" s="24" t="s">
        <v>283</v>
      </c>
      <c r="AK29" s="34" t="s">
        <v>284</v>
      </c>
      <c r="AL29" s="24"/>
      <c r="AM29" s="34" t="s">
        <v>24</v>
      </c>
      <c r="AN29" s="24"/>
      <c r="AO29" s="24"/>
      <c r="AP29" s="34" t="s">
        <v>285</v>
      </c>
      <c r="AQ29" s="24"/>
      <c r="AR29" s="24"/>
      <c r="AS29" s="34" t="s">
        <v>285</v>
      </c>
      <c r="AT29" s="24"/>
    </row>
    <row r="30" spans="1:46" x14ac:dyDescent="0.3">
      <c r="A30" s="4" t="s">
        <v>247</v>
      </c>
      <c r="B30" s="4" t="s">
        <v>61</v>
      </c>
      <c r="C30" s="4"/>
      <c r="D30" s="29">
        <f>COUNTIF(M30:AT30,"I")</f>
        <v>5</v>
      </c>
      <c r="E30" s="29">
        <f>COUNTIF(M30:AT30,"AA")</f>
        <v>3</v>
      </c>
      <c r="F30" s="29">
        <f>D30+E30</f>
        <v>8</v>
      </c>
      <c r="G30" s="29">
        <f>COUNTIF(M30:AT30,"S")</f>
        <v>2</v>
      </c>
      <c r="H30" s="29">
        <f>IF(M30="I",180,0)+IF(N30="I",90,0)+IF(O30="I",180,0)+IF(P30="I",180,0)+IF(Q30="I",180,0)+IF(R30="I",90,0)+IF(S30="I",180,0)+IF(T30="I",105,0)+IF(U30="I",180,0)+IF(V30="I",180,0)+IF(W30="I",120,0)+IF(X30="I",120,0)+IF(Y30="I",180,0)+IF(Z30="I",180,0)+IF(AA30="I",120,0)+IF(AB30="I",180,0)+IF(AC30="I",120,0)+IF(AD30="I",150,0)+IF(AE30="I",180,0)+IF(AF30="I",180,0)+IF(AG30="I",120,0)+IF(AH30="I",120,0)+IF(AI30="I",180,0)+IF(AJ30="I",120,0)+IF(AK30="I",180,0)+IF(AL30="I",150,0)+IF(AM30="I",180,0)+IF(AN30="I",60,0)+IF(AO30="I",180,0)+IF(AP30="I",180,0)+IF(AQ30="I",180,0)+IF(AR30="I",195,0)+IF(AS30="I",60,0)+IF(AT30="I",60,0)+IF(M30="AA",225,0)+IF(N30="AA",115,0)+IF(O30="AA",225,0)+IF(P30="AA",225,0)+IF(Q30="AA",225,0)+IF(R30="AA",115,0)+IF(S30="AA",225,0)+IF(T30="AA",135,0)+IF(U30="AA",225,0)+IF(V30="AA",225,0)+IF(W30="AA",150,0)+IF(X30="AA",150,0)+IF(Y30="AA",225,0)+IF(Z30="AA",225,0)+IF(AA30="AA",150,0)+IF(AB30="AA",225,0)+IF(AC30="AA",150,0)+IF(AD30="AA",190,0)+IF(AE30="AA",225,0)+IF(AF30="AA",225,0)+IF(AG30="AA",150,0)+IF(AH30="AA",150,0)+IF(AI30="AA",225,0)+IF(AJ30="AA",150,0)+IF(AK30="AA",225,0)+IF(AL30="AA",190,0)+IF(AM30="AA",225,0)+IF(AN30="AA",75,0)+IF(AO30="AA",225,0)+IF(AP30="AA",225,0)+IF(AQ30="AA",225,0)+IF(AR30="AA",245,0)+IF(AS30="AA",75,0)+IF(AT30="AA",75,0)</f>
        <v>1290</v>
      </c>
      <c r="I30" s="29">
        <f>COUNTIF(M30,"I")+COUNTIF(M30,"AA")+COUNTIF(M30,"S")+COUNTIF(N30,"I")+COUNTIF(N30,"AA")+COUNTIF(N30,"S")+COUNTIF(P30,"I")+COUNTIF(P30,"AA")+COUNTIF(P30,"S")+COUNTIF(R30,"I")+COUNTIF(R30,"AA")+COUNTIF(R30,"S")+COUNTIF(T30,"I")+COUNTIF(T30,"AA")+COUNTIF(T30,"S")+COUNTIF(V30,"I")+COUNTIF(V30,"AA")+COUNTIF(V30,"S")+COUNTIF(Y30,"I")+COUNTIF(Y30,"AA")+COUNTIF(Y30,"S")+COUNTIF(AA30,"I")+COUNTIF(AA30,"AA")+COUNTIF(AA30,"S")+COUNTIF(AC30,"I")+COUNTIF(AC30,"AA")+COUNTIF(AC30,"S")+COUNTIF(AD30,"I")+COUNTIF(AD30,"AA")+COUNTIF(AD30,"S")+COUNTIF(AF30,"I")+COUNTIF(AF30,"AA")+COUNTIF(AF30,"S")+COUNTIF(AH30,"I")+COUNTIF(AH30,"AA")+COUNTIF(AH30,"S")+COUNTIF(AK30,"I")+COUNTIF(AK30,"AA")+COUNTIF(AK30,"S")+COUNTIF(AM30,"I")+COUNTIF(AM30,"AA")+COUNTIF(AM30,"S")+COUNTIF(AP30,"I")+COUNTIF(AP30,"AA")+COUNTIF(AP30,"S")+COUNTIF(AR30,"I")+COUNTIF(AR30,"AA")+COUNTIF(AR30,"S")+COUNTIF(AT30,"I")+COUNTIF(AT30,"AA")+COUNTIF(AT30,"S")</f>
        <v>5</v>
      </c>
      <c r="J30" s="29">
        <f>COUNTIF(O30,"I")+COUNTIF(O30,"AA")+COUNTIF(O30,"S")+COUNTIF(Q30,"I")+COUNTIF(Q30,"AA")+COUNTIF(Q30,"S")+COUNTIF(S30,"I")+COUNTIF(S30,"AA")+COUNTIF(S30,"S")+COUNTIF(U30,"I")+COUNTIF(U30,"AA")+COUNTIF(U30,"S")+COUNTIF(W30,"I")+COUNTIF(W30,"AA")+COUNTIF(W30,"S")+COUNTIF(X30,"I")+COUNTIF(X30,"AA")+COUNTIF(X30,"S")+COUNTIF(Z30,"I")+COUNTIF(Z30,"AA")+COUNTIF(Z30,"S")+COUNTIF(AB30,"I")+COUNTIF(AB30,"AA")+COUNTIF(AB30,"S")+COUNTIF(AE30,"I")+COUNTIF(AE30,"AA")+COUNTIF(AE30,"S")+COUNTIF(AG30,"I")+COUNTIF(AG30,"AA")+COUNTIF(AG30,"S")+COUNTIF(AI30,"I")+COUNTIF(AI30,"AA")+COUNTIF(AI30,"S")+COUNTIF(AJ30,"I")+COUNTIF(AJ30,"AA")+COUNTIF(AJ30,"S")+COUNTIF(AL30,"I")+COUNTIF(AL30,"AA")+COUNTIF(AL30,"S")+COUNTIF(AN30,"I")+COUNTIF(AN30,"AA")+COUNTIF(AN30,"S")+COUNTIF(AO30,"I")+COUNTIF(AO30,"AA")+COUNTIF(AO30,"S")+COUNTIF(AQ30,"I")+COUNTIF(AQ30,"AA")+COUNTIF(AQ30,"S")+COUNTIF(AS30,"I")+COUNTIF(AS30,"AA")+COUNTIF(AS30,"S")</f>
        <v>5</v>
      </c>
      <c r="K30" s="29">
        <f>IF(AND((COUNTIF(N30,"I")+COUNTIF(N30,"AA")+COUNTIF(N30,"S"))&gt;0,(COUNTIF(O30,"I")+COUNTIF(O30,"AA")+COUNTIF(O30,"S"))&gt;0),1,0)+IF(AND((COUNTIF(P30,"I")+COUNTIF(P30,"AA")+COUNTIF(P30,"S"))&gt;0,(COUNTIF(Q30,"I")+COUNTIF(Q30,"AA")+COUNTIF(Q30,"S"))&gt;0),1,0)+IF(AND((COUNTIF(R30,"I")+COUNTIF(R30,"AA")+COUNTIF(R30,"S"))&gt;0,(COUNTIF(S30,"I")+COUNTIF(S30,"AA")+COUNTIF(S30,"S"))&gt;0),1,0)+IF(AND((COUNTIF(T30,"I")+COUNTIF(T30,"AA")+COUNTIF(T30,"S"))&gt;0,(COUNTIF(U30,"I")+COUNTIF(U30,"AA")+COUNTIF(U30,"S"))&gt;0),1,0)+IF(AND((COUNTIF(V30,"I")+COUNTIF(V30,"AA")+COUNTIF(V30,"S"))&gt;0,(COUNTIF(W30,"I")+COUNTIF(W30,"AA")+COUNTIF(W30,"S"))&gt;0),1,0)+IF(AND((COUNTIF(Y30,"I")+COUNTIF(Y30,"AA")+COUNTIF(Y30,"S"))&gt;0,(COUNTIF(Z30,"I")+COUNTIF(Z30,"AA")+COUNTIF(Z30,"S"))&gt;0),1,0)+IF(AND((COUNTIF(AA30,"I")+COUNTIF(AA30,"AA")+COUNTIF(AA30,"S"))&gt;0,(COUNTIF(AB30,"I")+COUNTIF(AB30,"AA")+COUNTIF(AB30,"S"))&gt;0),1,0)+IF(AND((COUNTIF(AD30,"I")+COUNTIF(AD30,"AA")+COUNTIF(AD30,"S"))&gt;0,(COUNTIF(AE30,"I")+COUNTIF(AE30,"AA")+COUNTIF(AE30,"S"))&gt;0),1,0)+IF(AND((COUNTIF(AF30,"I")+COUNTIF(AF30,"AA")+COUNTIF(AF30,"S"))&gt;0,(COUNTIF(AG30,"I")+COUNTIF(AG30,"AA")+COUNTIF(AG30,"S"))&gt;0),1,0)+IF(AND((COUNTIF(AH30,"I")+COUNTIF(AH30,"AA")+COUNTIF(AH30,"S"))&gt;0,(COUNTIF(AI30,"I")+COUNTIF(AI30,"AA")+COUNTIF(AI30,"S"))&gt;0),1,0)+IF(AND((COUNTIF(AK30,"I")+COUNTIF(AK30,"AA")+COUNTIF(AK30,"S"))&gt;0,(COUNTIF(AL30,"I")+COUNTIF(AL30,"AA")+COUNTIF(AL30,"S"))&gt;0),1,0)+IF(AND((COUNTIF(AM30,"I")+COUNTIF(AM30,"AA")+COUNTIF(AM30,"S"))&gt;0,(COUNTIF(AN30,"I")+COUNTIF(AN30,"AA")+COUNTIF(AN30,"S"))&gt;0),1,0)+IF(AND((COUNTIF(AP30,"I")+COUNTIF(AP30,"AA")+COUNTIF(AP30,"S"))&gt;0,(COUNTIF(AQ30,"I")+COUNTIF(AQ30,"AA")+COUNTIF(AQ30,"S"))&gt;0),1,0)+IF(AND((COUNTIF(AR30,"I")+COUNTIF(AR30,"AA")+COUNTIF(AR30,"S"))&gt;0,(COUNTIF(AS30,"I")+COUNTIF(AS30,"AA")+COUNTIF(AS30,"S"))&gt;0),1,0)</f>
        <v>1</v>
      </c>
      <c r="L30" s="22"/>
      <c r="M30" s="24"/>
      <c r="N30" s="24"/>
      <c r="O30" s="34" t="s">
        <v>24</v>
      </c>
      <c r="P30" s="24"/>
      <c r="Q30" s="24"/>
      <c r="R30" s="24" t="s">
        <v>283</v>
      </c>
      <c r="S30" s="34" t="s">
        <v>285</v>
      </c>
      <c r="T30" s="34" t="s">
        <v>285</v>
      </c>
      <c r="U30" s="24"/>
      <c r="V30" s="24"/>
      <c r="W30" s="34" t="s">
        <v>285</v>
      </c>
      <c r="X30" s="24"/>
      <c r="Y30" s="34" t="s">
        <v>285</v>
      </c>
      <c r="Z30" s="34" t="s">
        <v>24</v>
      </c>
      <c r="AA30" s="24"/>
      <c r="AB30" s="24"/>
      <c r="AC30" s="34" t="s">
        <v>284</v>
      </c>
      <c r="AD30" s="24"/>
      <c r="AE30" s="24" t="s">
        <v>283</v>
      </c>
      <c r="AF30" s="24"/>
      <c r="AG30" s="24"/>
      <c r="AH30" s="34" t="s">
        <v>284</v>
      </c>
      <c r="AI30" s="24"/>
      <c r="AJ30" s="24"/>
      <c r="AK30" s="24"/>
      <c r="AL30" s="24"/>
      <c r="AM30" s="24"/>
      <c r="AN30" s="34" t="s">
        <v>24</v>
      </c>
      <c r="AO30" s="24"/>
      <c r="AP30" s="34" t="s">
        <v>285</v>
      </c>
      <c r="AQ30" s="24" t="s">
        <v>283</v>
      </c>
      <c r="AR30" s="24"/>
      <c r="AS30" s="24"/>
      <c r="AT30" s="24"/>
    </row>
    <row r="31" spans="1:46" x14ac:dyDescent="0.3">
      <c r="A31" s="4" t="s">
        <v>248</v>
      </c>
      <c r="B31" s="4" t="s">
        <v>61</v>
      </c>
      <c r="C31" s="4"/>
      <c r="D31" s="29">
        <f>COUNTIF(M31:AT31,"I")</f>
        <v>5</v>
      </c>
      <c r="E31" s="29">
        <f>COUNTIF(M31:AT31,"AA")</f>
        <v>3</v>
      </c>
      <c r="F31" s="29">
        <f>D31+E31</f>
        <v>8</v>
      </c>
      <c r="G31" s="29">
        <f>COUNTIF(M31:AT31,"S")</f>
        <v>2</v>
      </c>
      <c r="H31" s="29">
        <f>IF(M31="I",180,0)+IF(N31="I",90,0)+IF(O31="I",180,0)+IF(P31="I",180,0)+IF(Q31="I",180,0)+IF(R31="I",90,0)+IF(S31="I",180,0)+IF(T31="I",105,0)+IF(U31="I",180,0)+IF(V31="I",180,0)+IF(W31="I",120,0)+IF(X31="I",120,0)+IF(Y31="I",180,0)+IF(Z31="I",180,0)+IF(AA31="I",120,0)+IF(AB31="I",180,0)+IF(AC31="I",120,0)+IF(AD31="I",150,0)+IF(AE31="I",180,0)+IF(AF31="I",180,0)+IF(AG31="I",120,0)+IF(AH31="I",120,0)+IF(AI31="I",180,0)+IF(AJ31="I",120,0)+IF(AK31="I",180,0)+IF(AL31="I",150,0)+IF(AM31="I",180,0)+IF(AN31="I",60,0)+IF(AO31="I",180,0)+IF(AP31="I",180,0)+IF(AQ31="I",180,0)+IF(AR31="I",195,0)+IF(AS31="I",60,0)+IF(AT31="I",60,0)+IF(M31="AA",225,0)+IF(N31="AA",115,0)+IF(O31="AA",225,0)+IF(P31="AA",225,0)+IF(Q31="AA",225,0)+IF(R31="AA",115,0)+IF(S31="AA",225,0)+IF(T31="AA",135,0)+IF(U31="AA",225,0)+IF(V31="AA",225,0)+IF(W31="AA",150,0)+IF(X31="AA",150,0)+IF(Y31="AA",225,0)+IF(Z31="AA",225,0)+IF(AA31="AA",150,0)+IF(AB31="AA",225,0)+IF(AC31="AA",150,0)+IF(AD31="AA",190,0)+IF(AE31="AA",225,0)+IF(AF31="AA",225,0)+IF(AG31="AA",150,0)+IF(AH31="AA",150,0)+IF(AI31="AA",225,0)+IF(AJ31="AA",150,0)+IF(AK31="AA",225,0)+IF(AL31="AA",190,0)+IF(AM31="AA",225,0)+IF(AN31="AA",75,0)+IF(AO31="AA",225,0)+IF(AP31="AA",225,0)+IF(AQ31="AA",225,0)+IF(AR31="AA",245,0)+IF(AS31="AA",75,0)+IF(AT31="AA",75,0)</f>
        <v>1320</v>
      </c>
      <c r="I31" s="29">
        <f>COUNTIF(M31,"I")+COUNTIF(M31,"AA")+COUNTIF(M31,"S")+COUNTIF(N31,"I")+COUNTIF(N31,"AA")+COUNTIF(N31,"S")+COUNTIF(P31,"I")+COUNTIF(P31,"AA")+COUNTIF(P31,"S")+COUNTIF(R31,"I")+COUNTIF(R31,"AA")+COUNTIF(R31,"S")+COUNTIF(T31,"I")+COUNTIF(T31,"AA")+COUNTIF(T31,"S")+COUNTIF(V31,"I")+COUNTIF(V31,"AA")+COUNTIF(V31,"S")+COUNTIF(Y31,"I")+COUNTIF(Y31,"AA")+COUNTIF(Y31,"S")+COUNTIF(AA31,"I")+COUNTIF(AA31,"AA")+COUNTIF(AA31,"S")+COUNTIF(AC31,"I")+COUNTIF(AC31,"AA")+COUNTIF(AC31,"S")+COUNTIF(AD31,"I")+COUNTIF(AD31,"AA")+COUNTIF(AD31,"S")+COUNTIF(AF31,"I")+COUNTIF(AF31,"AA")+COUNTIF(AF31,"S")+COUNTIF(AH31,"I")+COUNTIF(AH31,"AA")+COUNTIF(AH31,"S")+COUNTIF(AK31,"I")+COUNTIF(AK31,"AA")+COUNTIF(AK31,"S")+COUNTIF(AM31,"I")+COUNTIF(AM31,"AA")+COUNTIF(AM31,"S")+COUNTIF(AP31,"I")+COUNTIF(AP31,"AA")+COUNTIF(AP31,"S")+COUNTIF(AR31,"I")+COUNTIF(AR31,"AA")+COUNTIF(AR31,"S")+COUNTIF(AT31,"I")+COUNTIF(AT31,"AA")+COUNTIF(AT31,"S")</f>
        <v>4</v>
      </c>
      <c r="J31" s="29">
        <f>COUNTIF(O31,"I")+COUNTIF(O31,"AA")+COUNTIF(O31,"S")+COUNTIF(Q31,"I")+COUNTIF(Q31,"AA")+COUNTIF(Q31,"S")+COUNTIF(S31,"I")+COUNTIF(S31,"AA")+COUNTIF(S31,"S")+COUNTIF(U31,"I")+COUNTIF(U31,"AA")+COUNTIF(U31,"S")+COUNTIF(W31,"I")+COUNTIF(W31,"AA")+COUNTIF(W31,"S")+COUNTIF(X31,"I")+COUNTIF(X31,"AA")+COUNTIF(X31,"S")+COUNTIF(Z31,"I")+COUNTIF(Z31,"AA")+COUNTIF(Z31,"S")+COUNTIF(AB31,"I")+COUNTIF(AB31,"AA")+COUNTIF(AB31,"S")+COUNTIF(AE31,"I")+COUNTIF(AE31,"AA")+COUNTIF(AE31,"S")+COUNTIF(AG31,"I")+COUNTIF(AG31,"AA")+COUNTIF(AG31,"S")+COUNTIF(AI31,"I")+COUNTIF(AI31,"AA")+COUNTIF(AI31,"S")+COUNTIF(AJ31,"I")+COUNTIF(AJ31,"AA")+COUNTIF(AJ31,"S")+COUNTIF(AL31,"I")+COUNTIF(AL31,"AA")+COUNTIF(AL31,"S")+COUNTIF(AN31,"I")+COUNTIF(AN31,"AA")+COUNTIF(AN31,"S")+COUNTIF(AO31,"I")+COUNTIF(AO31,"AA")+COUNTIF(AO31,"S")+COUNTIF(AQ31,"I")+COUNTIF(AQ31,"AA")+COUNTIF(AQ31,"S")+COUNTIF(AS31,"I")+COUNTIF(AS31,"AA")+COUNTIF(AS31,"S")</f>
        <v>6</v>
      </c>
      <c r="K31" s="29">
        <f>IF(AND((COUNTIF(N31,"I")+COUNTIF(N31,"AA")+COUNTIF(N31,"S"))&gt;0,(COUNTIF(O31,"I")+COUNTIF(O31,"AA")+COUNTIF(O31,"S"))&gt;0),1,0)+IF(AND((COUNTIF(P31,"I")+COUNTIF(P31,"AA")+COUNTIF(P31,"S"))&gt;0,(COUNTIF(Q31,"I")+COUNTIF(Q31,"AA")+COUNTIF(Q31,"S"))&gt;0),1,0)+IF(AND((COUNTIF(R31,"I")+COUNTIF(R31,"AA")+COUNTIF(R31,"S"))&gt;0,(COUNTIF(S31,"I")+COUNTIF(S31,"AA")+COUNTIF(S31,"S"))&gt;0),1,0)+IF(AND((COUNTIF(T31,"I")+COUNTIF(T31,"AA")+COUNTIF(T31,"S"))&gt;0,(COUNTIF(U31,"I")+COUNTIF(U31,"AA")+COUNTIF(U31,"S"))&gt;0),1,0)+IF(AND((COUNTIF(V31,"I")+COUNTIF(V31,"AA")+COUNTIF(V31,"S"))&gt;0,(COUNTIF(W31,"I")+COUNTIF(W31,"AA")+COUNTIF(W31,"S"))&gt;0),1,0)+IF(AND((COUNTIF(Y31,"I")+COUNTIF(Y31,"AA")+COUNTIF(Y31,"S"))&gt;0,(COUNTIF(Z31,"I")+COUNTIF(Z31,"AA")+COUNTIF(Z31,"S"))&gt;0),1,0)+IF(AND((COUNTIF(AA31,"I")+COUNTIF(AA31,"AA")+COUNTIF(AA31,"S"))&gt;0,(COUNTIF(AB31,"I")+COUNTIF(AB31,"AA")+COUNTIF(AB31,"S"))&gt;0),1,0)+IF(AND((COUNTIF(AD31,"I")+COUNTIF(AD31,"AA")+COUNTIF(AD31,"S"))&gt;0,(COUNTIF(AE31,"I")+COUNTIF(AE31,"AA")+COUNTIF(AE31,"S"))&gt;0),1,0)+IF(AND((COUNTIF(AF31,"I")+COUNTIF(AF31,"AA")+COUNTIF(AF31,"S"))&gt;0,(COUNTIF(AG31,"I")+COUNTIF(AG31,"AA")+COUNTIF(AG31,"S"))&gt;0),1,0)+IF(AND((COUNTIF(AH31,"I")+COUNTIF(AH31,"AA")+COUNTIF(AH31,"S"))&gt;0,(COUNTIF(AI31,"I")+COUNTIF(AI31,"AA")+COUNTIF(AI31,"S"))&gt;0),1,0)+IF(AND((COUNTIF(AK31,"I")+COUNTIF(AK31,"AA")+COUNTIF(AK31,"S"))&gt;0,(COUNTIF(AL31,"I")+COUNTIF(AL31,"AA")+COUNTIF(AL31,"S"))&gt;0),1,0)+IF(AND((COUNTIF(AM31,"I")+COUNTIF(AM31,"AA")+COUNTIF(AM31,"S"))&gt;0,(COUNTIF(AN31,"I")+COUNTIF(AN31,"AA")+COUNTIF(AN31,"S"))&gt;0),1,0)+IF(AND((COUNTIF(AP31,"I")+COUNTIF(AP31,"AA")+COUNTIF(AP31,"S"))&gt;0,(COUNTIF(AQ31,"I")+COUNTIF(AQ31,"AA")+COUNTIF(AQ31,"S"))&gt;0),1,0)+IF(AND((COUNTIF(AR31,"I")+COUNTIF(AR31,"AA")+COUNTIF(AR31,"S"))&gt;0,(COUNTIF(AS31,"I")+COUNTIF(AS31,"AA")+COUNTIF(AS31,"S"))&gt;0),1,0)</f>
        <v>1</v>
      </c>
      <c r="L31" s="22"/>
      <c r="M31" s="24"/>
      <c r="N31" s="24"/>
      <c r="O31" s="34" t="s">
        <v>24</v>
      </c>
      <c r="P31" s="24"/>
      <c r="Q31" s="34" t="s">
        <v>285</v>
      </c>
      <c r="R31" s="24"/>
      <c r="S31" s="34" t="s">
        <v>285</v>
      </c>
      <c r="T31" s="34" t="s">
        <v>285</v>
      </c>
      <c r="U31" s="24" t="s">
        <v>283</v>
      </c>
      <c r="V31" s="24"/>
      <c r="W31" s="24"/>
      <c r="X31" s="24"/>
      <c r="Y31" s="24" t="s">
        <v>283</v>
      </c>
      <c r="Z31" s="24"/>
      <c r="AA31" s="24"/>
      <c r="AB31" s="24"/>
      <c r="AC31" s="34" t="s">
        <v>24</v>
      </c>
      <c r="AD31" s="24"/>
      <c r="AE31" s="34" t="s">
        <v>24</v>
      </c>
      <c r="AF31" s="24"/>
      <c r="AG31" s="24"/>
      <c r="AH31" s="24"/>
      <c r="AI31" s="34" t="s">
        <v>284</v>
      </c>
      <c r="AJ31" s="24"/>
      <c r="AK31" s="24"/>
      <c r="AL31" s="24"/>
      <c r="AM31" s="34" t="s">
        <v>284</v>
      </c>
      <c r="AN31" s="24"/>
      <c r="AO31" s="24"/>
      <c r="AP31" s="24"/>
      <c r="AQ31" s="24"/>
      <c r="AR31" s="34" t="s">
        <v>285</v>
      </c>
      <c r="AS31" s="34" t="s">
        <v>285</v>
      </c>
      <c r="AT31" s="24"/>
    </row>
    <row r="32" spans="1:46" x14ac:dyDescent="0.3">
      <c r="A32" s="4" t="s">
        <v>249</v>
      </c>
      <c r="B32" s="4" t="s">
        <v>61</v>
      </c>
      <c r="C32" s="4"/>
      <c r="D32" s="29">
        <f>COUNTIF(M32:AT32,"I")</f>
        <v>5</v>
      </c>
      <c r="E32" s="29">
        <f>COUNTIF(M32:AT32,"AA")</f>
        <v>3</v>
      </c>
      <c r="F32" s="29">
        <f>D32+E32</f>
        <v>8</v>
      </c>
      <c r="G32" s="29">
        <f>COUNTIF(M32:AT32,"S")</f>
        <v>2</v>
      </c>
      <c r="H32" s="29">
        <f>IF(M32="I",180,0)+IF(N32="I",90,0)+IF(O32="I",180,0)+IF(P32="I",180,0)+IF(Q32="I",180,0)+IF(R32="I",90,0)+IF(S32="I",180,0)+IF(T32="I",105,0)+IF(U32="I",180,0)+IF(V32="I",180,0)+IF(W32="I",120,0)+IF(X32="I",120,0)+IF(Y32="I",180,0)+IF(Z32="I",180,0)+IF(AA32="I",120,0)+IF(AB32="I",180,0)+IF(AC32="I",120,0)+IF(AD32="I",150,0)+IF(AE32="I",180,0)+IF(AF32="I",180,0)+IF(AG32="I",120,0)+IF(AH32="I",120,0)+IF(AI32="I",180,0)+IF(AJ32="I",120,0)+IF(AK32="I",180,0)+IF(AL32="I",150,0)+IF(AM32="I",180,0)+IF(AN32="I",60,0)+IF(AO32="I",180,0)+IF(AP32="I",180,0)+IF(AQ32="I",180,0)+IF(AR32="I",195,0)+IF(AS32="I",60,0)+IF(AT32="I",60,0)+IF(M32="AA",225,0)+IF(N32="AA",115,0)+IF(O32="AA",225,0)+IF(P32="AA",225,0)+IF(Q32="AA",225,0)+IF(R32="AA",115,0)+IF(S32="AA",225,0)+IF(T32="AA",135,0)+IF(U32="AA",225,0)+IF(V32="AA",225,0)+IF(W32="AA",150,0)+IF(X32="AA",150,0)+IF(Y32="AA",225,0)+IF(Z32="AA",225,0)+IF(AA32="AA",150,0)+IF(AB32="AA",225,0)+IF(AC32="AA",150,0)+IF(AD32="AA",190,0)+IF(AE32="AA",225,0)+IF(AF32="AA",225,0)+IF(AG32="AA",150,0)+IF(AH32="AA",150,0)+IF(AI32="AA",225,0)+IF(AJ32="AA",150,0)+IF(AK32="AA",225,0)+IF(AL32="AA",190,0)+IF(AM32="AA",225,0)+IF(AN32="AA",75,0)+IF(AO32="AA",225,0)+IF(AP32="AA",225,0)+IF(AQ32="AA",225,0)+IF(AR32="AA",245,0)+IF(AS32="AA",75,0)+IF(AT32="AA",75,0)</f>
        <v>1320</v>
      </c>
      <c r="I32" s="29">
        <f>COUNTIF(M32,"I")+COUNTIF(M32,"AA")+COUNTIF(M32,"S")+COUNTIF(N32,"I")+COUNTIF(N32,"AA")+COUNTIF(N32,"S")+COUNTIF(P32,"I")+COUNTIF(P32,"AA")+COUNTIF(P32,"S")+COUNTIF(R32,"I")+COUNTIF(R32,"AA")+COUNTIF(R32,"S")+COUNTIF(T32,"I")+COUNTIF(T32,"AA")+COUNTIF(T32,"S")+COUNTIF(V32,"I")+COUNTIF(V32,"AA")+COUNTIF(V32,"S")+COUNTIF(Y32,"I")+COUNTIF(Y32,"AA")+COUNTIF(Y32,"S")+COUNTIF(AA32,"I")+COUNTIF(AA32,"AA")+COUNTIF(AA32,"S")+COUNTIF(AC32,"I")+COUNTIF(AC32,"AA")+COUNTIF(AC32,"S")+COUNTIF(AD32,"I")+COUNTIF(AD32,"AA")+COUNTIF(AD32,"S")+COUNTIF(AF32,"I")+COUNTIF(AF32,"AA")+COUNTIF(AF32,"S")+COUNTIF(AH32,"I")+COUNTIF(AH32,"AA")+COUNTIF(AH32,"S")+COUNTIF(AK32,"I")+COUNTIF(AK32,"AA")+COUNTIF(AK32,"S")+COUNTIF(AM32,"I")+COUNTIF(AM32,"AA")+COUNTIF(AM32,"S")+COUNTIF(AP32,"I")+COUNTIF(AP32,"AA")+COUNTIF(AP32,"S")+COUNTIF(AR32,"I")+COUNTIF(AR32,"AA")+COUNTIF(AR32,"S")+COUNTIF(AT32,"I")+COUNTIF(AT32,"AA")+COUNTIF(AT32,"S")</f>
        <v>4</v>
      </c>
      <c r="J32" s="29">
        <f>COUNTIF(O32,"I")+COUNTIF(O32,"AA")+COUNTIF(O32,"S")+COUNTIF(Q32,"I")+COUNTIF(Q32,"AA")+COUNTIF(Q32,"S")+COUNTIF(S32,"I")+COUNTIF(S32,"AA")+COUNTIF(S32,"S")+COUNTIF(U32,"I")+COUNTIF(U32,"AA")+COUNTIF(U32,"S")+COUNTIF(W32,"I")+COUNTIF(W32,"AA")+COUNTIF(W32,"S")+COUNTIF(X32,"I")+COUNTIF(X32,"AA")+COUNTIF(X32,"S")+COUNTIF(Z32,"I")+COUNTIF(Z32,"AA")+COUNTIF(Z32,"S")+COUNTIF(AB32,"I")+COUNTIF(AB32,"AA")+COUNTIF(AB32,"S")+COUNTIF(AE32,"I")+COUNTIF(AE32,"AA")+COUNTIF(AE32,"S")+COUNTIF(AG32,"I")+COUNTIF(AG32,"AA")+COUNTIF(AG32,"S")+COUNTIF(AI32,"I")+COUNTIF(AI32,"AA")+COUNTIF(AI32,"S")+COUNTIF(AJ32,"I")+COUNTIF(AJ32,"AA")+COUNTIF(AJ32,"S")+COUNTIF(AL32,"I")+COUNTIF(AL32,"AA")+COUNTIF(AL32,"S")+COUNTIF(AN32,"I")+COUNTIF(AN32,"AA")+COUNTIF(AN32,"S")+COUNTIF(AO32,"I")+COUNTIF(AO32,"AA")+COUNTIF(AO32,"S")+COUNTIF(AQ32,"I")+COUNTIF(AQ32,"AA")+COUNTIF(AQ32,"S")+COUNTIF(AS32,"I")+COUNTIF(AS32,"AA")+COUNTIF(AS32,"S")</f>
        <v>6</v>
      </c>
      <c r="K32" s="29">
        <f>IF(AND((COUNTIF(N32,"I")+COUNTIF(N32,"AA")+COUNTIF(N32,"S"))&gt;0,(COUNTIF(O32,"I")+COUNTIF(O32,"AA")+COUNTIF(O32,"S"))&gt;0),1,0)+IF(AND((COUNTIF(P32,"I")+COUNTIF(P32,"AA")+COUNTIF(P32,"S"))&gt;0,(COUNTIF(Q32,"I")+COUNTIF(Q32,"AA")+COUNTIF(Q32,"S"))&gt;0),1,0)+IF(AND((COUNTIF(R32,"I")+COUNTIF(R32,"AA")+COUNTIF(R32,"S"))&gt;0,(COUNTIF(S32,"I")+COUNTIF(S32,"AA")+COUNTIF(S32,"S"))&gt;0),1,0)+IF(AND((COUNTIF(T32,"I")+COUNTIF(T32,"AA")+COUNTIF(T32,"S"))&gt;0,(COUNTIF(U32,"I")+COUNTIF(U32,"AA")+COUNTIF(U32,"S"))&gt;0),1,0)+IF(AND((COUNTIF(V32,"I")+COUNTIF(V32,"AA")+COUNTIF(V32,"S"))&gt;0,(COUNTIF(W32,"I")+COUNTIF(W32,"AA")+COUNTIF(W32,"S"))&gt;0),1,0)+IF(AND((COUNTIF(Y32,"I")+COUNTIF(Y32,"AA")+COUNTIF(Y32,"S"))&gt;0,(COUNTIF(Z32,"I")+COUNTIF(Z32,"AA")+COUNTIF(Z32,"S"))&gt;0),1,0)+IF(AND((COUNTIF(AA32,"I")+COUNTIF(AA32,"AA")+COUNTIF(AA32,"S"))&gt;0,(COUNTIF(AB32,"I")+COUNTIF(AB32,"AA")+COUNTIF(AB32,"S"))&gt;0),1,0)+IF(AND((COUNTIF(AD32,"I")+COUNTIF(AD32,"AA")+COUNTIF(AD32,"S"))&gt;0,(COUNTIF(AE32,"I")+COUNTIF(AE32,"AA")+COUNTIF(AE32,"S"))&gt;0),1,0)+IF(AND((COUNTIF(AF32,"I")+COUNTIF(AF32,"AA")+COUNTIF(AF32,"S"))&gt;0,(COUNTIF(AG32,"I")+COUNTIF(AG32,"AA")+COUNTIF(AG32,"S"))&gt;0),1,0)+IF(AND((COUNTIF(AH32,"I")+COUNTIF(AH32,"AA")+COUNTIF(AH32,"S"))&gt;0,(COUNTIF(AI32,"I")+COUNTIF(AI32,"AA")+COUNTIF(AI32,"S"))&gt;0),1,0)+IF(AND((COUNTIF(AK32,"I")+COUNTIF(AK32,"AA")+COUNTIF(AK32,"S"))&gt;0,(COUNTIF(AL32,"I")+COUNTIF(AL32,"AA")+COUNTIF(AL32,"S"))&gt;0),1,0)+IF(AND((COUNTIF(AM32,"I")+COUNTIF(AM32,"AA")+COUNTIF(AM32,"S"))&gt;0,(COUNTIF(AN32,"I")+COUNTIF(AN32,"AA")+COUNTIF(AN32,"S"))&gt;0),1,0)+IF(AND((COUNTIF(AP32,"I")+COUNTIF(AP32,"AA")+COUNTIF(AP32,"S"))&gt;0,(COUNTIF(AQ32,"I")+COUNTIF(AQ32,"AA")+COUNTIF(AQ32,"S"))&gt;0),1,0)+IF(AND((COUNTIF(AR32,"I")+COUNTIF(AR32,"AA")+COUNTIF(AR32,"S"))&gt;0,(COUNTIF(AS32,"I")+COUNTIF(AS32,"AA")+COUNTIF(AS32,"S"))&gt;0),1,0)</f>
        <v>1</v>
      </c>
      <c r="L32" s="22"/>
      <c r="M32" s="24"/>
      <c r="N32" s="24" t="s">
        <v>283</v>
      </c>
      <c r="O32" s="34" t="s">
        <v>24</v>
      </c>
      <c r="P32" s="24"/>
      <c r="Q32" s="34" t="s">
        <v>285</v>
      </c>
      <c r="R32" s="24"/>
      <c r="S32" s="34" t="s">
        <v>285</v>
      </c>
      <c r="T32" s="34" t="s">
        <v>285</v>
      </c>
      <c r="U32" s="24"/>
      <c r="V32" s="24"/>
      <c r="W32" s="24"/>
      <c r="X32" s="24"/>
      <c r="Y32" s="24"/>
      <c r="Z32" s="24"/>
      <c r="AA32" s="24"/>
      <c r="AB32" s="24" t="s">
        <v>283</v>
      </c>
      <c r="AC32" s="34" t="s">
        <v>24</v>
      </c>
      <c r="AD32" s="24"/>
      <c r="AE32" s="34" t="s">
        <v>24</v>
      </c>
      <c r="AF32" s="24"/>
      <c r="AG32" s="24"/>
      <c r="AH32" s="24"/>
      <c r="AI32" s="34" t="s">
        <v>284</v>
      </c>
      <c r="AJ32" s="24"/>
      <c r="AK32" s="24"/>
      <c r="AL32" s="24"/>
      <c r="AM32" s="24"/>
      <c r="AN32" s="24"/>
      <c r="AO32" s="24"/>
      <c r="AP32" s="34" t="s">
        <v>284</v>
      </c>
      <c r="AQ32" s="24"/>
      <c r="AR32" s="34" t="s">
        <v>285</v>
      </c>
      <c r="AS32" s="34" t="s">
        <v>285</v>
      </c>
      <c r="AT32" s="24"/>
    </row>
    <row r="33" spans="1:46" x14ac:dyDescent="0.3">
      <c r="A33" s="4" t="s">
        <v>250</v>
      </c>
      <c r="B33" s="4" t="s">
        <v>61</v>
      </c>
      <c r="C33" s="4"/>
      <c r="D33" s="29">
        <f>COUNTIF(M33:AT33,"I")</f>
        <v>6</v>
      </c>
      <c r="E33" s="29">
        <f>COUNTIF(M33:AT33,"AA")</f>
        <v>3</v>
      </c>
      <c r="F33" s="29">
        <f>D33+E33</f>
        <v>9</v>
      </c>
      <c r="G33" s="29">
        <f>COUNTIF(M33:AT33,"S")</f>
        <v>2</v>
      </c>
      <c r="H33" s="29">
        <f>IF(M33="I",180,0)+IF(N33="I",90,0)+IF(O33="I",180,0)+IF(P33="I",180,0)+IF(Q33="I",180,0)+IF(R33="I",90,0)+IF(S33="I",180,0)+IF(T33="I",105,0)+IF(U33="I",180,0)+IF(V33="I",180,0)+IF(W33="I",120,0)+IF(X33="I",120,0)+IF(Y33="I",180,0)+IF(Z33="I",180,0)+IF(AA33="I",120,0)+IF(AB33="I",180,0)+IF(AC33="I",120,0)+IF(AD33="I",150,0)+IF(AE33="I",180,0)+IF(AF33="I",180,0)+IF(AG33="I",120,0)+IF(AH33="I",120,0)+IF(AI33="I",180,0)+IF(AJ33="I",120,0)+IF(AK33="I",180,0)+IF(AL33="I",150,0)+IF(AM33="I",180,0)+IF(AN33="I",60,0)+IF(AO33="I",180,0)+IF(AP33="I",180,0)+IF(AQ33="I",180,0)+IF(AR33="I",195,0)+IF(AS33="I",60,0)+IF(AT33="I",60,0)+IF(M33="AA",225,0)+IF(N33="AA",115,0)+IF(O33="AA",225,0)+IF(P33="AA",225,0)+IF(Q33="AA",225,0)+IF(R33="AA",115,0)+IF(S33="AA",225,0)+IF(T33="AA",135,0)+IF(U33="AA",225,0)+IF(V33="AA",225,0)+IF(W33="AA",150,0)+IF(X33="AA",150,0)+IF(Y33="AA",225,0)+IF(Z33="AA",225,0)+IF(AA33="AA",150,0)+IF(AB33="AA",225,0)+IF(AC33="AA",150,0)+IF(AD33="AA",190,0)+IF(AE33="AA",225,0)+IF(AF33="AA",225,0)+IF(AG33="AA",150,0)+IF(AH33="AA",150,0)+IF(AI33="AA",225,0)+IF(AJ33="AA",150,0)+IF(AK33="AA",225,0)+IF(AL33="AA",190,0)+IF(AM33="AA",225,0)+IF(AN33="AA",75,0)+IF(AO33="AA",225,0)+IF(AP33="AA",225,0)+IF(AQ33="AA",225,0)+IF(AR33="AA",245,0)+IF(AS33="AA",75,0)+IF(AT33="AA",75,0)</f>
        <v>1350</v>
      </c>
      <c r="I33" s="29">
        <f>COUNTIF(M33,"I")+COUNTIF(M33,"AA")+COUNTIF(M33,"S")+COUNTIF(N33,"I")+COUNTIF(N33,"AA")+COUNTIF(N33,"S")+COUNTIF(P33,"I")+COUNTIF(P33,"AA")+COUNTIF(P33,"S")+COUNTIF(R33,"I")+COUNTIF(R33,"AA")+COUNTIF(R33,"S")+COUNTIF(T33,"I")+COUNTIF(T33,"AA")+COUNTIF(T33,"S")+COUNTIF(V33,"I")+COUNTIF(V33,"AA")+COUNTIF(V33,"S")+COUNTIF(Y33,"I")+COUNTIF(Y33,"AA")+COUNTIF(Y33,"S")+COUNTIF(AA33,"I")+COUNTIF(AA33,"AA")+COUNTIF(AA33,"S")+COUNTIF(AC33,"I")+COUNTIF(AC33,"AA")+COUNTIF(AC33,"S")+COUNTIF(AD33,"I")+COUNTIF(AD33,"AA")+COUNTIF(AD33,"S")+COUNTIF(AF33,"I")+COUNTIF(AF33,"AA")+COUNTIF(AF33,"S")+COUNTIF(AH33,"I")+COUNTIF(AH33,"AA")+COUNTIF(AH33,"S")+COUNTIF(AK33,"I")+COUNTIF(AK33,"AA")+COUNTIF(AK33,"S")+COUNTIF(AM33,"I")+COUNTIF(AM33,"AA")+COUNTIF(AM33,"S")+COUNTIF(AP33,"I")+COUNTIF(AP33,"AA")+COUNTIF(AP33,"S")+COUNTIF(AR33,"I")+COUNTIF(AR33,"AA")+COUNTIF(AR33,"S")+COUNTIF(AT33,"I")+COUNTIF(AT33,"AA")+COUNTIF(AT33,"S")</f>
        <v>5</v>
      </c>
      <c r="J33" s="29">
        <f>COUNTIF(O33,"I")+COUNTIF(O33,"AA")+COUNTIF(O33,"S")+COUNTIF(Q33,"I")+COUNTIF(Q33,"AA")+COUNTIF(Q33,"S")+COUNTIF(S33,"I")+COUNTIF(S33,"AA")+COUNTIF(S33,"S")+COUNTIF(U33,"I")+COUNTIF(U33,"AA")+COUNTIF(U33,"S")+COUNTIF(W33,"I")+COUNTIF(W33,"AA")+COUNTIF(W33,"S")+COUNTIF(X33,"I")+COUNTIF(X33,"AA")+COUNTIF(X33,"S")+COUNTIF(Z33,"I")+COUNTIF(Z33,"AA")+COUNTIF(Z33,"S")+COUNTIF(AB33,"I")+COUNTIF(AB33,"AA")+COUNTIF(AB33,"S")+COUNTIF(AE33,"I")+COUNTIF(AE33,"AA")+COUNTIF(AE33,"S")+COUNTIF(AG33,"I")+COUNTIF(AG33,"AA")+COUNTIF(AG33,"S")+COUNTIF(AI33,"I")+COUNTIF(AI33,"AA")+COUNTIF(AI33,"S")+COUNTIF(AJ33,"I")+COUNTIF(AJ33,"AA")+COUNTIF(AJ33,"S")+COUNTIF(AL33,"I")+COUNTIF(AL33,"AA")+COUNTIF(AL33,"S")+COUNTIF(AN33,"I")+COUNTIF(AN33,"AA")+COUNTIF(AN33,"S")+COUNTIF(AO33,"I")+COUNTIF(AO33,"AA")+COUNTIF(AO33,"S")+COUNTIF(AQ33,"I")+COUNTIF(AQ33,"AA")+COUNTIF(AQ33,"S")+COUNTIF(AS33,"I")+COUNTIF(AS33,"AA")+COUNTIF(AS33,"S")</f>
        <v>6</v>
      </c>
      <c r="K33" s="29">
        <f>IF(AND((COUNTIF(N33,"I")+COUNTIF(N33,"AA")+COUNTIF(N33,"S"))&gt;0,(COUNTIF(O33,"I")+COUNTIF(O33,"AA")+COUNTIF(O33,"S"))&gt;0),1,0)+IF(AND((COUNTIF(P33,"I")+COUNTIF(P33,"AA")+COUNTIF(P33,"S"))&gt;0,(COUNTIF(Q33,"I")+COUNTIF(Q33,"AA")+COUNTIF(Q33,"S"))&gt;0),1,0)+IF(AND((COUNTIF(R33,"I")+COUNTIF(R33,"AA")+COUNTIF(R33,"S"))&gt;0,(COUNTIF(S33,"I")+COUNTIF(S33,"AA")+COUNTIF(S33,"S"))&gt;0),1,0)+IF(AND((COUNTIF(T33,"I")+COUNTIF(T33,"AA")+COUNTIF(T33,"S"))&gt;0,(COUNTIF(U33,"I")+COUNTIF(U33,"AA")+COUNTIF(U33,"S"))&gt;0),1,0)+IF(AND((COUNTIF(V33,"I")+COUNTIF(V33,"AA")+COUNTIF(V33,"S"))&gt;0,(COUNTIF(W33,"I")+COUNTIF(W33,"AA")+COUNTIF(W33,"S"))&gt;0),1,0)+IF(AND((COUNTIF(Y33,"I")+COUNTIF(Y33,"AA")+COUNTIF(Y33,"S"))&gt;0,(COUNTIF(Z33,"I")+COUNTIF(Z33,"AA")+COUNTIF(Z33,"S"))&gt;0),1,0)+IF(AND((COUNTIF(AA33,"I")+COUNTIF(AA33,"AA")+COUNTIF(AA33,"S"))&gt;0,(COUNTIF(AB33,"I")+COUNTIF(AB33,"AA")+COUNTIF(AB33,"S"))&gt;0),1,0)+IF(AND((COUNTIF(AD33,"I")+COUNTIF(AD33,"AA")+COUNTIF(AD33,"S"))&gt;0,(COUNTIF(AE33,"I")+COUNTIF(AE33,"AA")+COUNTIF(AE33,"S"))&gt;0),1,0)+IF(AND((COUNTIF(AF33,"I")+COUNTIF(AF33,"AA")+COUNTIF(AF33,"S"))&gt;0,(COUNTIF(AG33,"I")+COUNTIF(AG33,"AA")+COUNTIF(AG33,"S"))&gt;0),1,0)+IF(AND((COUNTIF(AH33,"I")+COUNTIF(AH33,"AA")+COUNTIF(AH33,"S"))&gt;0,(COUNTIF(AI33,"I")+COUNTIF(AI33,"AA")+COUNTIF(AI33,"S"))&gt;0),1,0)+IF(AND((COUNTIF(AK33,"I")+COUNTIF(AK33,"AA")+COUNTIF(AK33,"S"))&gt;0,(COUNTIF(AL33,"I")+COUNTIF(AL33,"AA")+COUNTIF(AL33,"S"))&gt;0),1,0)+IF(AND((COUNTIF(AM33,"I")+COUNTIF(AM33,"AA")+COUNTIF(AM33,"S"))&gt;0,(COUNTIF(AN33,"I")+COUNTIF(AN33,"AA")+COUNTIF(AN33,"S"))&gt;0),1,0)+IF(AND((COUNTIF(AP33,"I")+COUNTIF(AP33,"AA")+COUNTIF(AP33,"S"))&gt;0,(COUNTIF(AQ33,"I")+COUNTIF(AQ33,"AA")+COUNTIF(AQ33,"S"))&gt;0),1,0)+IF(AND((COUNTIF(AR33,"I")+COUNTIF(AR33,"AA")+COUNTIF(AR33,"S"))&gt;0,(COUNTIF(AS33,"I")+COUNTIF(AS33,"AA")+COUNTIF(AS33,"S"))&gt;0),1,0)</f>
        <v>0</v>
      </c>
      <c r="L33" s="22"/>
      <c r="M33" s="34" t="s">
        <v>285</v>
      </c>
      <c r="N33" s="24"/>
      <c r="O33" s="34" t="s">
        <v>24</v>
      </c>
      <c r="P33" s="24"/>
      <c r="Q33" s="24"/>
      <c r="R33" s="24"/>
      <c r="S33" s="34" t="s">
        <v>284</v>
      </c>
      <c r="T33" s="34" t="s">
        <v>285</v>
      </c>
      <c r="U33" s="24"/>
      <c r="V33" s="24"/>
      <c r="W33" s="34" t="s">
        <v>285</v>
      </c>
      <c r="X33" s="24" t="s">
        <v>283</v>
      </c>
      <c r="Y33" s="24"/>
      <c r="Z33" s="34" t="s">
        <v>24</v>
      </c>
      <c r="AA33" s="24"/>
      <c r="AB33" s="24"/>
      <c r="AC33" s="34" t="s">
        <v>285</v>
      </c>
      <c r="AD33" s="24"/>
      <c r="AE33" s="34" t="s">
        <v>285</v>
      </c>
      <c r="AF33" s="24"/>
      <c r="AG33" s="24"/>
      <c r="AH33" s="34" t="s">
        <v>285</v>
      </c>
      <c r="AI33" s="24"/>
      <c r="AJ33" s="24"/>
      <c r="AK33" s="24"/>
      <c r="AL33" s="24"/>
      <c r="AM33" s="24" t="s">
        <v>283</v>
      </c>
      <c r="AN33" s="34" t="s">
        <v>24</v>
      </c>
      <c r="AO33" s="24"/>
      <c r="AP33" s="34" t="s">
        <v>284</v>
      </c>
      <c r="AQ33" s="24"/>
      <c r="AR33" s="24"/>
      <c r="AS33" s="24"/>
      <c r="AT33" s="24"/>
    </row>
    <row r="34" spans="1:46" x14ac:dyDescent="0.3">
      <c r="A34" s="4" t="s">
        <v>251</v>
      </c>
      <c r="B34" s="4" t="s">
        <v>61</v>
      </c>
      <c r="C34" s="4"/>
      <c r="D34" s="29">
        <f>COUNTIF(M34:AT34,"I")</f>
        <v>5</v>
      </c>
      <c r="E34" s="29">
        <f>COUNTIF(M34:AT34,"AA")</f>
        <v>3</v>
      </c>
      <c r="F34" s="29">
        <f>D34+E34</f>
        <v>8</v>
      </c>
      <c r="G34" s="29">
        <f>COUNTIF(M34:AT34,"S")</f>
        <v>2</v>
      </c>
      <c r="H34" s="29">
        <f>IF(M34="I",180,0)+IF(N34="I",90,0)+IF(O34="I",180,0)+IF(P34="I",180,0)+IF(Q34="I",180,0)+IF(R34="I",90,0)+IF(S34="I",180,0)+IF(T34="I",105,0)+IF(U34="I",180,0)+IF(V34="I",180,0)+IF(W34="I",120,0)+IF(X34="I",120,0)+IF(Y34="I",180,0)+IF(Z34="I",180,0)+IF(AA34="I",120,0)+IF(AB34="I",180,0)+IF(AC34="I",120,0)+IF(AD34="I",150,0)+IF(AE34="I",180,0)+IF(AF34="I",180,0)+IF(AG34="I",120,0)+IF(AH34="I",120,0)+IF(AI34="I",180,0)+IF(AJ34="I",120,0)+IF(AK34="I",180,0)+IF(AL34="I",150,0)+IF(AM34="I",180,0)+IF(AN34="I",60,0)+IF(AO34="I",180,0)+IF(AP34="I",180,0)+IF(AQ34="I",180,0)+IF(AR34="I",195,0)+IF(AS34="I",60,0)+IF(AT34="I",60,0)+IF(M34="AA",225,0)+IF(N34="AA",115,0)+IF(O34="AA",225,0)+IF(P34="AA",225,0)+IF(Q34="AA",225,0)+IF(R34="AA",115,0)+IF(S34="AA",225,0)+IF(T34="AA",135,0)+IF(U34="AA",225,0)+IF(V34="AA",225,0)+IF(W34="AA",150,0)+IF(X34="AA",150,0)+IF(Y34="AA",225,0)+IF(Z34="AA",225,0)+IF(AA34="AA",150,0)+IF(AB34="AA",225,0)+IF(AC34="AA",150,0)+IF(AD34="AA",190,0)+IF(AE34="AA",225,0)+IF(AF34="AA",225,0)+IF(AG34="AA",150,0)+IF(AH34="AA",150,0)+IF(AI34="AA",225,0)+IF(AJ34="AA",150,0)+IF(AK34="AA",225,0)+IF(AL34="AA",190,0)+IF(AM34="AA",225,0)+IF(AN34="AA",75,0)+IF(AO34="AA",225,0)+IF(AP34="AA",225,0)+IF(AQ34="AA",225,0)+IF(AR34="AA",245,0)+IF(AS34="AA",75,0)+IF(AT34="AA",75,0)</f>
        <v>1125</v>
      </c>
      <c r="I34" s="29">
        <f>COUNTIF(M34,"I")+COUNTIF(M34,"AA")+COUNTIF(M34,"S")+COUNTIF(N34,"I")+COUNTIF(N34,"AA")+COUNTIF(N34,"S")+COUNTIF(P34,"I")+COUNTIF(P34,"AA")+COUNTIF(P34,"S")+COUNTIF(R34,"I")+COUNTIF(R34,"AA")+COUNTIF(R34,"S")+COUNTIF(T34,"I")+COUNTIF(T34,"AA")+COUNTIF(T34,"S")+COUNTIF(V34,"I")+COUNTIF(V34,"AA")+COUNTIF(V34,"S")+COUNTIF(Y34,"I")+COUNTIF(Y34,"AA")+COUNTIF(Y34,"S")+COUNTIF(AA34,"I")+COUNTIF(AA34,"AA")+COUNTIF(AA34,"S")+COUNTIF(AC34,"I")+COUNTIF(AC34,"AA")+COUNTIF(AC34,"S")+COUNTIF(AD34,"I")+COUNTIF(AD34,"AA")+COUNTIF(AD34,"S")+COUNTIF(AF34,"I")+COUNTIF(AF34,"AA")+COUNTIF(AF34,"S")+COUNTIF(AH34,"I")+COUNTIF(AH34,"AA")+COUNTIF(AH34,"S")+COUNTIF(AK34,"I")+COUNTIF(AK34,"AA")+COUNTIF(AK34,"S")+COUNTIF(AM34,"I")+COUNTIF(AM34,"AA")+COUNTIF(AM34,"S")+COUNTIF(AP34,"I")+COUNTIF(AP34,"AA")+COUNTIF(AP34,"S")+COUNTIF(AR34,"I")+COUNTIF(AR34,"AA")+COUNTIF(AR34,"S")+COUNTIF(AT34,"I")+COUNTIF(AT34,"AA")+COUNTIF(AT34,"S")</f>
        <v>3</v>
      </c>
      <c r="J34" s="29">
        <f>COUNTIF(O34,"I")+COUNTIF(O34,"AA")+COUNTIF(O34,"S")+COUNTIF(Q34,"I")+COUNTIF(Q34,"AA")+COUNTIF(Q34,"S")+COUNTIF(S34,"I")+COUNTIF(S34,"AA")+COUNTIF(S34,"S")+COUNTIF(U34,"I")+COUNTIF(U34,"AA")+COUNTIF(U34,"S")+COUNTIF(W34,"I")+COUNTIF(W34,"AA")+COUNTIF(W34,"S")+COUNTIF(X34,"I")+COUNTIF(X34,"AA")+COUNTIF(X34,"S")+COUNTIF(Z34,"I")+COUNTIF(Z34,"AA")+COUNTIF(Z34,"S")+COUNTIF(AB34,"I")+COUNTIF(AB34,"AA")+COUNTIF(AB34,"S")+COUNTIF(AE34,"I")+COUNTIF(AE34,"AA")+COUNTIF(AE34,"S")+COUNTIF(AG34,"I")+COUNTIF(AG34,"AA")+COUNTIF(AG34,"S")+COUNTIF(AI34,"I")+COUNTIF(AI34,"AA")+COUNTIF(AI34,"S")+COUNTIF(AJ34,"I")+COUNTIF(AJ34,"AA")+COUNTIF(AJ34,"S")+COUNTIF(AL34,"I")+COUNTIF(AL34,"AA")+COUNTIF(AL34,"S")+COUNTIF(AN34,"I")+COUNTIF(AN34,"AA")+COUNTIF(AN34,"S")+COUNTIF(AO34,"I")+COUNTIF(AO34,"AA")+COUNTIF(AO34,"S")+COUNTIF(AQ34,"I")+COUNTIF(AQ34,"AA")+COUNTIF(AQ34,"S")+COUNTIF(AS34,"I")+COUNTIF(AS34,"AA")+COUNTIF(AS34,"S")</f>
        <v>7</v>
      </c>
      <c r="K34" s="29">
        <f>IF(AND((COUNTIF(N34,"I")+COUNTIF(N34,"AA")+COUNTIF(N34,"S"))&gt;0,(COUNTIF(O34,"I")+COUNTIF(O34,"AA")+COUNTIF(O34,"S"))&gt;0),1,0)+IF(AND((COUNTIF(P34,"I")+COUNTIF(P34,"AA")+COUNTIF(P34,"S"))&gt;0,(COUNTIF(Q34,"I")+COUNTIF(Q34,"AA")+COUNTIF(Q34,"S"))&gt;0),1,0)+IF(AND((COUNTIF(R34,"I")+COUNTIF(R34,"AA")+COUNTIF(R34,"S"))&gt;0,(COUNTIF(S34,"I")+COUNTIF(S34,"AA")+COUNTIF(S34,"S"))&gt;0),1,0)+IF(AND((COUNTIF(T34,"I")+COUNTIF(T34,"AA")+COUNTIF(T34,"S"))&gt;0,(COUNTIF(U34,"I")+COUNTIF(U34,"AA")+COUNTIF(U34,"S"))&gt;0),1,0)+IF(AND((COUNTIF(V34,"I")+COUNTIF(V34,"AA")+COUNTIF(V34,"S"))&gt;0,(COUNTIF(W34,"I")+COUNTIF(W34,"AA")+COUNTIF(W34,"S"))&gt;0),1,0)+IF(AND((COUNTIF(Y34,"I")+COUNTIF(Y34,"AA")+COUNTIF(Y34,"S"))&gt;0,(COUNTIF(Z34,"I")+COUNTIF(Z34,"AA")+COUNTIF(Z34,"S"))&gt;0),1,0)+IF(AND((COUNTIF(AA34,"I")+COUNTIF(AA34,"AA")+COUNTIF(AA34,"S"))&gt;0,(COUNTIF(AB34,"I")+COUNTIF(AB34,"AA")+COUNTIF(AB34,"S"))&gt;0),1,0)+IF(AND((COUNTIF(AD34,"I")+COUNTIF(AD34,"AA")+COUNTIF(AD34,"S"))&gt;0,(COUNTIF(AE34,"I")+COUNTIF(AE34,"AA")+COUNTIF(AE34,"S"))&gt;0),1,0)+IF(AND((COUNTIF(AF34,"I")+COUNTIF(AF34,"AA")+COUNTIF(AF34,"S"))&gt;0,(COUNTIF(AG34,"I")+COUNTIF(AG34,"AA")+COUNTIF(AG34,"S"))&gt;0),1,0)+IF(AND((COUNTIF(AH34,"I")+COUNTIF(AH34,"AA")+COUNTIF(AH34,"S"))&gt;0,(COUNTIF(AI34,"I")+COUNTIF(AI34,"AA")+COUNTIF(AI34,"S"))&gt;0),1,0)+IF(AND((COUNTIF(AK34,"I")+COUNTIF(AK34,"AA")+COUNTIF(AK34,"S"))&gt;0,(COUNTIF(AL34,"I")+COUNTIF(AL34,"AA")+COUNTIF(AL34,"S"))&gt;0),1,0)+IF(AND((COUNTIF(AM34,"I")+COUNTIF(AM34,"AA")+COUNTIF(AM34,"S"))&gt;0,(COUNTIF(AN34,"I")+COUNTIF(AN34,"AA")+COUNTIF(AN34,"S"))&gt;0),1,0)+IF(AND((COUNTIF(AP34,"I")+COUNTIF(AP34,"AA")+COUNTIF(AP34,"S"))&gt;0,(COUNTIF(AQ34,"I")+COUNTIF(AQ34,"AA")+COUNTIF(AQ34,"S"))&gt;0),1,0)+IF(AND((COUNTIF(AR34,"I")+COUNTIF(AR34,"AA")+COUNTIF(AR34,"S"))&gt;0,(COUNTIF(AS34,"I")+COUNTIF(AS34,"AA")+COUNTIF(AS34,"S"))&gt;0),1,0)</f>
        <v>0</v>
      </c>
      <c r="L34" s="22"/>
      <c r="M34" s="24"/>
      <c r="N34" s="24"/>
      <c r="O34" s="34" t="s">
        <v>24</v>
      </c>
      <c r="P34" s="24"/>
      <c r="Q34" s="24"/>
      <c r="R34" s="24" t="s">
        <v>283</v>
      </c>
      <c r="S34" s="24"/>
      <c r="T34" s="34" t="s">
        <v>285</v>
      </c>
      <c r="U34" s="24" t="s">
        <v>283</v>
      </c>
      <c r="V34" s="24"/>
      <c r="W34" s="24"/>
      <c r="X34" s="34" t="s">
        <v>285</v>
      </c>
      <c r="Y34" s="24"/>
      <c r="Z34" s="34" t="s">
        <v>24</v>
      </c>
      <c r="AA34" s="24"/>
      <c r="AB34" s="34" t="s">
        <v>284</v>
      </c>
      <c r="AC34" s="24"/>
      <c r="AD34" s="24"/>
      <c r="AE34" s="24" t="s">
        <v>283</v>
      </c>
      <c r="AF34" s="24"/>
      <c r="AG34" s="24"/>
      <c r="AH34" s="24"/>
      <c r="AI34" s="24" t="s">
        <v>283</v>
      </c>
      <c r="AJ34" s="34" t="s">
        <v>285</v>
      </c>
      <c r="AK34" s="24"/>
      <c r="AL34" s="24"/>
      <c r="AM34" s="24"/>
      <c r="AN34" s="34" t="s">
        <v>24</v>
      </c>
      <c r="AO34" s="24"/>
      <c r="AP34" s="24"/>
      <c r="AQ34" s="34" t="s">
        <v>284</v>
      </c>
      <c r="AR34" s="34" t="s">
        <v>285</v>
      </c>
      <c r="AS34" s="24"/>
      <c r="AT34" s="34" t="s">
        <v>285</v>
      </c>
    </row>
    <row r="35" spans="1:46" x14ac:dyDescent="0.3">
      <c r="A35" s="4" t="s">
        <v>252</v>
      </c>
      <c r="B35" s="4" t="s">
        <v>61</v>
      </c>
      <c r="C35" s="4"/>
      <c r="D35" s="29">
        <f>COUNTIF(M35:AT35,"I")</f>
        <v>5</v>
      </c>
      <c r="E35" s="29">
        <f>COUNTIF(M35:AT35,"AA")</f>
        <v>3</v>
      </c>
      <c r="F35" s="29">
        <f>D35+E35</f>
        <v>8</v>
      </c>
      <c r="G35" s="29">
        <f>COUNTIF(M35:AT35,"S")</f>
        <v>2</v>
      </c>
      <c r="H35" s="29">
        <f>IF(M35="I",180,0)+IF(N35="I",90,0)+IF(O35="I",180,0)+IF(P35="I",180,0)+IF(Q35="I",180,0)+IF(R35="I",90,0)+IF(S35="I",180,0)+IF(T35="I",105,0)+IF(U35="I",180,0)+IF(V35="I",180,0)+IF(W35="I",120,0)+IF(X35="I",120,0)+IF(Y35="I",180,0)+IF(Z35="I",180,0)+IF(AA35="I",120,0)+IF(AB35="I",180,0)+IF(AC35="I",120,0)+IF(AD35="I",150,0)+IF(AE35="I",180,0)+IF(AF35="I",180,0)+IF(AG35="I",120,0)+IF(AH35="I",120,0)+IF(AI35="I",180,0)+IF(AJ35="I",120,0)+IF(AK35="I",180,0)+IF(AL35="I",150,0)+IF(AM35="I",180,0)+IF(AN35="I",60,0)+IF(AO35="I",180,0)+IF(AP35="I",180,0)+IF(AQ35="I",180,0)+IF(AR35="I",195,0)+IF(AS35="I",60,0)+IF(AT35="I",60,0)+IF(M35="AA",225,0)+IF(N35="AA",115,0)+IF(O35="AA",225,0)+IF(P35="AA",225,0)+IF(Q35="AA",225,0)+IF(R35="AA",115,0)+IF(S35="AA",225,0)+IF(T35="AA",135,0)+IF(U35="AA",225,0)+IF(V35="AA",225,0)+IF(W35="AA",150,0)+IF(X35="AA",150,0)+IF(Y35="AA",225,0)+IF(Z35="AA",225,0)+IF(AA35="AA",150,0)+IF(AB35="AA",225,0)+IF(AC35="AA",150,0)+IF(AD35="AA",190,0)+IF(AE35="AA",225,0)+IF(AF35="AA",225,0)+IF(AG35="AA",150,0)+IF(AH35="AA",150,0)+IF(AI35="AA",225,0)+IF(AJ35="AA",150,0)+IF(AK35="AA",225,0)+IF(AL35="AA",190,0)+IF(AM35="AA",225,0)+IF(AN35="AA",75,0)+IF(AO35="AA",225,0)+IF(AP35="AA",225,0)+IF(AQ35="AA",225,0)+IF(AR35="AA",245,0)+IF(AS35="AA",75,0)+IF(AT35="AA",75,0)</f>
        <v>1230</v>
      </c>
      <c r="I35" s="29">
        <f>COUNTIF(M35,"I")+COUNTIF(M35,"AA")+COUNTIF(M35,"S")+COUNTIF(N35,"I")+COUNTIF(N35,"AA")+COUNTIF(N35,"S")+COUNTIF(P35,"I")+COUNTIF(P35,"AA")+COUNTIF(P35,"S")+COUNTIF(R35,"I")+COUNTIF(R35,"AA")+COUNTIF(R35,"S")+COUNTIF(T35,"I")+COUNTIF(T35,"AA")+COUNTIF(T35,"S")+COUNTIF(V35,"I")+COUNTIF(V35,"AA")+COUNTIF(V35,"S")+COUNTIF(Y35,"I")+COUNTIF(Y35,"AA")+COUNTIF(Y35,"S")+COUNTIF(AA35,"I")+COUNTIF(AA35,"AA")+COUNTIF(AA35,"S")+COUNTIF(AC35,"I")+COUNTIF(AC35,"AA")+COUNTIF(AC35,"S")+COUNTIF(AD35,"I")+COUNTIF(AD35,"AA")+COUNTIF(AD35,"S")+COUNTIF(AF35,"I")+COUNTIF(AF35,"AA")+COUNTIF(AF35,"S")+COUNTIF(AH35,"I")+COUNTIF(AH35,"AA")+COUNTIF(AH35,"S")+COUNTIF(AK35,"I")+COUNTIF(AK35,"AA")+COUNTIF(AK35,"S")+COUNTIF(AM35,"I")+COUNTIF(AM35,"AA")+COUNTIF(AM35,"S")+COUNTIF(AP35,"I")+COUNTIF(AP35,"AA")+COUNTIF(AP35,"S")+COUNTIF(AR35,"I")+COUNTIF(AR35,"AA")+COUNTIF(AR35,"S")+COUNTIF(AT35,"I")+COUNTIF(AT35,"AA")+COUNTIF(AT35,"S")</f>
        <v>3</v>
      </c>
      <c r="J35" s="29">
        <f>COUNTIF(O35,"I")+COUNTIF(O35,"AA")+COUNTIF(O35,"S")+COUNTIF(Q35,"I")+COUNTIF(Q35,"AA")+COUNTIF(Q35,"S")+COUNTIF(S35,"I")+COUNTIF(S35,"AA")+COUNTIF(S35,"S")+COUNTIF(U35,"I")+COUNTIF(U35,"AA")+COUNTIF(U35,"S")+COUNTIF(W35,"I")+COUNTIF(W35,"AA")+COUNTIF(W35,"S")+COUNTIF(X35,"I")+COUNTIF(X35,"AA")+COUNTIF(X35,"S")+COUNTIF(Z35,"I")+COUNTIF(Z35,"AA")+COUNTIF(Z35,"S")+COUNTIF(AB35,"I")+COUNTIF(AB35,"AA")+COUNTIF(AB35,"S")+COUNTIF(AE35,"I")+COUNTIF(AE35,"AA")+COUNTIF(AE35,"S")+COUNTIF(AG35,"I")+COUNTIF(AG35,"AA")+COUNTIF(AG35,"S")+COUNTIF(AI35,"I")+COUNTIF(AI35,"AA")+COUNTIF(AI35,"S")+COUNTIF(AJ35,"I")+COUNTIF(AJ35,"AA")+COUNTIF(AJ35,"S")+COUNTIF(AL35,"I")+COUNTIF(AL35,"AA")+COUNTIF(AL35,"S")+COUNTIF(AN35,"I")+COUNTIF(AN35,"AA")+COUNTIF(AN35,"S")+COUNTIF(AO35,"I")+COUNTIF(AO35,"AA")+COUNTIF(AO35,"S")+COUNTIF(AQ35,"I")+COUNTIF(AQ35,"AA")+COUNTIF(AQ35,"S")+COUNTIF(AS35,"I")+COUNTIF(AS35,"AA")+COUNTIF(AS35,"S")</f>
        <v>7</v>
      </c>
      <c r="K35" s="29">
        <f>IF(AND((COUNTIF(N35,"I")+COUNTIF(N35,"AA")+COUNTIF(N35,"S"))&gt;0,(COUNTIF(O35,"I")+COUNTIF(O35,"AA")+COUNTIF(O35,"S"))&gt;0),1,0)+IF(AND((COUNTIF(P35,"I")+COUNTIF(P35,"AA")+COUNTIF(P35,"S"))&gt;0,(COUNTIF(Q35,"I")+COUNTIF(Q35,"AA")+COUNTIF(Q35,"S"))&gt;0),1,0)+IF(AND((COUNTIF(R35,"I")+COUNTIF(R35,"AA")+COUNTIF(R35,"S"))&gt;0,(COUNTIF(S35,"I")+COUNTIF(S35,"AA")+COUNTIF(S35,"S"))&gt;0),1,0)+IF(AND((COUNTIF(T35,"I")+COUNTIF(T35,"AA")+COUNTIF(T35,"S"))&gt;0,(COUNTIF(U35,"I")+COUNTIF(U35,"AA")+COUNTIF(U35,"S"))&gt;0),1,0)+IF(AND((COUNTIF(V35,"I")+COUNTIF(V35,"AA")+COUNTIF(V35,"S"))&gt;0,(COUNTIF(W35,"I")+COUNTIF(W35,"AA")+COUNTIF(W35,"S"))&gt;0),1,0)+IF(AND((COUNTIF(Y35,"I")+COUNTIF(Y35,"AA")+COUNTIF(Y35,"S"))&gt;0,(COUNTIF(Z35,"I")+COUNTIF(Z35,"AA")+COUNTIF(Z35,"S"))&gt;0),1,0)+IF(AND((COUNTIF(AA35,"I")+COUNTIF(AA35,"AA")+COUNTIF(AA35,"S"))&gt;0,(COUNTIF(AB35,"I")+COUNTIF(AB35,"AA")+COUNTIF(AB35,"S"))&gt;0),1,0)+IF(AND((COUNTIF(AD35,"I")+COUNTIF(AD35,"AA")+COUNTIF(AD35,"S"))&gt;0,(COUNTIF(AE35,"I")+COUNTIF(AE35,"AA")+COUNTIF(AE35,"S"))&gt;0),1,0)+IF(AND((COUNTIF(AF35,"I")+COUNTIF(AF35,"AA")+COUNTIF(AF35,"S"))&gt;0,(COUNTIF(AG35,"I")+COUNTIF(AG35,"AA")+COUNTIF(AG35,"S"))&gt;0),1,0)+IF(AND((COUNTIF(AH35,"I")+COUNTIF(AH35,"AA")+COUNTIF(AH35,"S"))&gt;0,(COUNTIF(AI35,"I")+COUNTIF(AI35,"AA")+COUNTIF(AI35,"S"))&gt;0),1,0)+IF(AND((COUNTIF(AK35,"I")+COUNTIF(AK35,"AA")+COUNTIF(AK35,"S"))&gt;0,(COUNTIF(AL35,"I")+COUNTIF(AL35,"AA")+COUNTIF(AL35,"S"))&gt;0),1,0)+IF(AND((COUNTIF(AM35,"I")+COUNTIF(AM35,"AA")+COUNTIF(AM35,"S"))&gt;0,(COUNTIF(AN35,"I")+COUNTIF(AN35,"AA")+COUNTIF(AN35,"S"))&gt;0),1,0)+IF(AND((COUNTIF(AP35,"I")+COUNTIF(AP35,"AA")+COUNTIF(AP35,"S"))&gt;0,(COUNTIF(AQ35,"I")+COUNTIF(AQ35,"AA")+COUNTIF(AQ35,"S"))&gt;0),1,0)+IF(AND((COUNTIF(AR35,"I")+COUNTIF(AR35,"AA")+COUNTIF(AR35,"S"))&gt;0,(COUNTIF(AS35,"I")+COUNTIF(AS35,"AA")+COUNTIF(AS35,"S"))&gt;0),1,0)</f>
        <v>0</v>
      </c>
      <c r="L35" s="22"/>
      <c r="M35" s="24"/>
      <c r="N35" s="24" t="s">
        <v>283</v>
      </c>
      <c r="O35" s="34" t="s">
        <v>24</v>
      </c>
      <c r="P35" s="24"/>
      <c r="Q35" s="34" t="s">
        <v>284</v>
      </c>
      <c r="R35" s="24"/>
      <c r="S35" s="24"/>
      <c r="T35" s="34" t="s">
        <v>284</v>
      </c>
      <c r="U35" s="24"/>
      <c r="V35" s="24"/>
      <c r="W35" s="24"/>
      <c r="X35" s="34" t="s">
        <v>285</v>
      </c>
      <c r="Y35" s="24" t="s">
        <v>283</v>
      </c>
      <c r="Z35" s="34" t="s">
        <v>285</v>
      </c>
      <c r="AA35" s="34" t="s">
        <v>24</v>
      </c>
      <c r="AB35" s="24" t="s">
        <v>283</v>
      </c>
      <c r="AC35" s="34" t="s">
        <v>285</v>
      </c>
      <c r="AD35" s="24"/>
      <c r="AE35" s="34" t="s">
        <v>285</v>
      </c>
      <c r="AF35" s="24"/>
      <c r="AG35" s="24"/>
      <c r="AH35" s="24"/>
      <c r="AI35" s="34" t="s">
        <v>285</v>
      </c>
      <c r="AJ35" s="24"/>
      <c r="AK35" s="24"/>
      <c r="AL35" s="24"/>
      <c r="AM35" s="24" t="s">
        <v>283</v>
      </c>
      <c r="AN35" s="34" t="s">
        <v>24</v>
      </c>
      <c r="AO35" s="24"/>
      <c r="AP35" s="24"/>
      <c r="AQ35" s="24"/>
      <c r="AR35" s="24"/>
      <c r="AS35" s="24"/>
      <c r="AT35" s="24"/>
    </row>
    <row r="36" spans="1:46" x14ac:dyDescent="0.3">
      <c r="A36" s="4" t="s">
        <v>253</v>
      </c>
      <c r="B36" s="4" t="s">
        <v>73</v>
      </c>
      <c r="C36" s="4"/>
      <c r="D36" s="29">
        <f>COUNTIF(M36:AT36,"I")</f>
        <v>5</v>
      </c>
      <c r="E36" s="29">
        <f>COUNTIF(M36:AT36,"AA")</f>
        <v>3</v>
      </c>
      <c r="F36" s="29">
        <f>D36+E36</f>
        <v>8</v>
      </c>
      <c r="G36" s="29">
        <f>COUNTIF(M36:AT36,"S")</f>
        <v>2</v>
      </c>
      <c r="H36" s="29">
        <f>IF(M36="I",180,0)+IF(N36="I",90,0)+IF(O36="I",180,0)+IF(P36="I",180,0)+IF(Q36="I",180,0)+IF(R36="I",90,0)+IF(S36="I",180,0)+IF(T36="I",105,0)+IF(U36="I",180,0)+IF(V36="I",180,0)+IF(W36="I",120,0)+IF(X36="I",120,0)+IF(Y36="I",180,0)+IF(Z36="I",180,0)+IF(AA36="I",120,0)+IF(AB36="I",180,0)+IF(AC36="I",120,0)+IF(AD36="I",150,0)+IF(AE36="I",180,0)+IF(AF36="I",180,0)+IF(AG36="I",120,0)+IF(AH36="I",120,0)+IF(AI36="I",180,0)+IF(AJ36="I",120,0)+IF(AK36="I",180,0)+IF(AL36="I",150,0)+IF(AM36="I",180,0)+IF(AN36="I",60,0)+IF(AO36="I",180,0)+IF(AP36="I",180,0)+IF(AQ36="I",180,0)+IF(AR36="I",195,0)+IF(AS36="I",60,0)+IF(AT36="I",60,0)+IF(M36="AA",225,0)+IF(N36="AA",115,0)+IF(O36="AA",225,0)+IF(P36="AA",225,0)+IF(Q36="AA",225,0)+IF(R36="AA",115,0)+IF(S36="AA",225,0)+IF(T36="AA",135,0)+IF(U36="AA",225,0)+IF(V36="AA",225,0)+IF(W36="AA",150,0)+IF(X36="AA",150,0)+IF(Y36="AA",225,0)+IF(Z36="AA",225,0)+IF(AA36="AA",150,0)+IF(AB36="AA",225,0)+IF(AC36="AA",150,0)+IF(AD36="AA",190,0)+IF(AE36="AA",225,0)+IF(AF36="AA",225,0)+IF(AG36="AA",150,0)+IF(AH36="AA",150,0)+IF(AI36="AA",225,0)+IF(AJ36="AA",150,0)+IF(AK36="AA",225,0)+IF(AL36="AA",190,0)+IF(AM36="AA",225,0)+IF(AN36="AA",75,0)+IF(AO36="AA",225,0)+IF(AP36="AA",225,0)+IF(AQ36="AA",225,0)+IF(AR36="AA",245,0)+IF(AS36="AA",75,0)+IF(AT36="AA",75,0)</f>
        <v>1290</v>
      </c>
      <c r="I36" s="29">
        <f>COUNTIF(M36,"I")+COUNTIF(M36,"AA")+COUNTIF(M36,"S")+COUNTIF(N36,"I")+COUNTIF(N36,"AA")+COUNTIF(N36,"S")+COUNTIF(P36,"I")+COUNTIF(P36,"AA")+COUNTIF(P36,"S")+COUNTIF(R36,"I")+COUNTIF(R36,"AA")+COUNTIF(R36,"S")+COUNTIF(T36,"I")+COUNTIF(T36,"AA")+COUNTIF(T36,"S")+COUNTIF(V36,"I")+COUNTIF(V36,"AA")+COUNTIF(V36,"S")+COUNTIF(Y36,"I")+COUNTIF(Y36,"AA")+COUNTIF(Y36,"S")+COUNTIF(AA36,"I")+COUNTIF(AA36,"AA")+COUNTIF(AA36,"S")+COUNTIF(AC36,"I")+COUNTIF(AC36,"AA")+COUNTIF(AC36,"S")+COUNTIF(AD36,"I")+COUNTIF(AD36,"AA")+COUNTIF(AD36,"S")+COUNTIF(AF36,"I")+COUNTIF(AF36,"AA")+COUNTIF(AF36,"S")+COUNTIF(AH36,"I")+COUNTIF(AH36,"AA")+COUNTIF(AH36,"S")+COUNTIF(AK36,"I")+COUNTIF(AK36,"AA")+COUNTIF(AK36,"S")+COUNTIF(AM36,"I")+COUNTIF(AM36,"AA")+COUNTIF(AM36,"S")+COUNTIF(AP36,"I")+COUNTIF(AP36,"AA")+COUNTIF(AP36,"S")+COUNTIF(AR36,"I")+COUNTIF(AR36,"AA")+COUNTIF(AR36,"S")+COUNTIF(AT36,"I")+COUNTIF(AT36,"AA")+COUNTIF(AT36,"S")</f>
        <v>5</v>
      </c>
      <c r="J36" s="29">
        <f>COUNTIF(O36,"I")+COUNTIF(O36,"AA")+COUNTIF(O36,"S")+COUNTIF(Q36,"I")+COUNTIF(Q36,"AA")+COUNTIF(Q36,"S")+COUNTIF(S36,"I")+COUNTIF(S36,"AA")+COUNTIF(S36,"S")+COUNTIF(U36,"I")+COUNTIF(U36,"AA")+COUNTIF(U36,"S")+COUNTIF(W36,"I")+COUNTIF(W36,"AA")+COUNTIF(W36,"S")+COUNTIF(X36,"I")+COUNTIF(X36,"AA")+COUNTIF(X36,"S")+COUNTIF(Z36,"I")+COUNTIF(Z36,"AA")+COUNTIF(Z36,"S")+COUNTIF(AB36,"I")+COUNTIF(AB36,"AA")+COUNTIF(AB36,"S")+COUNTIF(AE36,"I")+COUNTIF(AE36,"AA")+COUNTIF(AE36,"S")+COUNTIF(AG36,"I")+COUNTIF(AG36,"AA")+COUNTIF(AG36,"S")+COUNTIF(AI36,"I")+COUNTIF(AI36,"AA")+COUNTIF(AI36,"S")+COUNTIF(AJ36,"I")+COUNTIF(AJ36,"AA")+COUNTIF(AJ36,"S")+COUNTIF(AL36,"I")+COUNTIF(AL36,"AA")+COUNTIF(AL36,"S")+COUNTIF(AN36,"I")+COUNTIF(AN36,"AA")+COUNTIF(AN36,"S")+COUNTIF(AO36,"I")+COUNTIF(AO36,"AA")+COUNTIF(AO36,"S")+COUNTIF(AQ36,"I")+COUNTIF(AQ36,"AA")+COUNTIF(AQ36,"S")+COUNTIF(AS36,"I")+COUNTIF(AS36,"AA")+COUNTIF(AS36,"S")</f>
        <v>5</v>
      </c>
      <c r="K36" s="29">
        <f>IF(AND((COUNTIF(N36,"I")+COUNTIF(N36,"AA")+COUNTIF(N36,"S"))&gt;0,(COUNTIF(O36,"I")+COUNTIF(O36,"AA")+COUNTIF(O36,"S"))&gt;0),1,0)+IF(AND((COUNTIF(P36,"I")+COUNTIF(P36,"AA")+COUNTIF(P36,"S"))&gt;0,(COUNTIF(Q36,"I")+COUNTIF(Q36,"AA")+COUNTIF(Q36,"S"))&gt;0),1,0)+IF(AND((COUNTIF(R36,"I")+COUNTIF(R36,"AA")+COUNTIF(R36,"S"))&gt;0,(COUNTIF(S36,"I")+COUNTIF(S36,"AA")+COUNTIF(S36,"S"))&gt;0),1,0)+IF(AND((COUNTIF(T36,"I")+COUNTIF(T36,"AA")+COUNTIF(T36,"S"))&gt;0,(COUNTIF(U36,"I")+COUNTIF(U36,"AA")+COUNTIF(U36,"S"))&gt;0),1,0)+IF(AND((COUNTIF(V36,"I")+COUNTIF(V36,"AA")+COUNTIF(V36,"S"))&gt;0,(COUNTIF(W36,"I")+COUNTIF(W36,"AA")+COUNTIF(W36,"S"))&gt;0),1,0)+IF(AND((COUNTIF(Y36,"I")+COUNTIF(Y36,"AA")+COUNTIF(Y36,"S"))&gt;0,(COUNTIF(Z36,"I")+COUNTIF(Z36,"AA")+COUNTIF(Z36,"S"))&gt;0),1,0)+IF(AND((COUNTIF(AA36,"I")+COUNTIF(AA36,"AA")+COUNTIF(AA36,"S"))&gt;0,(COUNTIF(AB36,"I")+COUNTIF(AB36,"AA")+COUNTIF(AB36,"S"))&gt;0),1,0)+IF(AND((COUNTIF(AD36,"I")+COUNTIF(AD36,"AA")+COUNTIF(AD36,"S"))&gt;0,(COUNTIF(AE36,"I")+COUNTIF(AE36,"AA")+COUNTIF(AE36,"S"))&gt;0),1,0)+IF(AND((COUNTIF(AF36,"I")+COUNTIF(AF36,"AA")+COUNTIF(AF36,"S"))&gt;0,(COUNTIF(AG36,"I")+COUNTIF(AG36,"AA")+COUNTIF(AG36,"S"))&gt;0),1,0)+IF(AND((COUNTIF(AH36,"I")+COUNTIF(AH36,"AA")+COUNTIF(AH36,"S"))&gt;0,(COUNTIF(AI36,"I")+COUNTIF(AI36,"AA")+COUNTIF(AI36,"S"))&gt;0),1,0)+IF(AND((COUNTIF(AK36,"I")+COUNTIF(AK36,"AA")+COUNTIF(AK36,"S"))&gt;0,(COUNTIF(AL36,"I")+COUNTIF(AL36,"AA")+COUNTIF(AL36,"S"))&gt;0),1,0)+IF(AND((COUNTIF(AM36,"I")+COUNTIF(AM36,"AA")+COUNTIF(AM36,"S"))&gt;0,(COUNTIF(AN36,"I")+COUNTIF(AN36,"AA")+COUNTIF(AN36,"S"))&gt;0),1,0)+IF(AND((COUNTIF(AP36,"I")+COUNTIF(AP36,"AA")+COUNTIF(AP36,"S"))&gt;0,(COUNTIF(AQ36,"I")+COUNTIF(AQ36,"AA")+COUNTIF(AQ36,"S"))&gt;0),1,0)+IF(AND((COUNTIF(AR36,"I")+COUNTIF(AR36,"AA")+COUNTIF(AR36,"S"))&gt;0,(COUNTIF(AS36,"I")+COUNTIF(AS36,"AA")+COUNTIF(AS36,"S"))&gt;0),1,0)</f>
        <v>1</v>
      </c>
      <c r="L36" s="22"/>
      <c r="M36" s="24"/>
      <c r="N36" s="24"/>
      <c r="O36" s="34" t="s">
        <v>24</v>
      </c>
      <c r="P36" s="24"/>
      <c r="Q36" s="24"/>
      <c r="R36" s="34" t="s">
        <v>284</v>
      </c>
      <c r="S36" s="24"/>
      <c r="T36" s="34" t="s">
        <v>284</v>
      </c>
      <c r="U36" s="24"/>
      <c r="V36" s="34" t="s">
        <v>285</v>
      </c>
      <c r="W36" s="24"/>
      <c r="X36" s="24" t="s">
        <v>283</v>
      </c>
      <c r="Y36" s="24"/>
      <c r="Z36" s="34" t="s">
        <v>285</v>
      </c>
      <c r="AA36" s="34" t="s">
        <v>24</v>
      </c>
      <c r="AB36" s="34" t="s">
        <v>285</v>
      </c>
      <c r="AC36" s="24"/>
      <c r="AD36" s="24"/>
      <c r="AE36" s="34" t="s">
        <v>285</v>
      </c>
      <c r="AF36" s="24"/>
      <c r="AG36" s="24"/>
      <c r="AH36" s="34" t="s">
        <v>285</v>
      </c>
      <c r="AI36" s="24" t="s">
        <v>283</v>
      </c>
      <c r="AJ36" s="24"/>
      <c r="AK36" s="24"/>
      <c r="AL36" s="24"/>
      <c r="AM36" s="24"/>
      <c r="AN36" s="34" t="s">
        <v>24</v>
      </c>
      <c r="AO36" s="24"/>
      <c r="AP36" s="24"/>
      <c r="AQ36" s="24"/>
      <c r="AR36" s="24"/>
      <c r="AS36" s="24"/>
      <c r="AT36" s="24"/>
    </row>
    <row r="37" spans="1:46" x14ac:dyDescent="0.3">
      <c r="A37" s="4" t="s">
        <v>254</v>
      </c>
      <c r="B37" s="4" t="s">
        <v>73</v>
      </c>
      <c r="C37" s="4"/>
      <c r="D37" s="29">
        <f>COUNTIF(M37:AT37,"I")</f>
        <v>5</v>
      </c>
      <c r="E37" s="29">
        <f>COUNTIF(M37:AT37,"AA")</f>
        <v>3</v>
      </c>
      <c r="F37" s="29">
        <f>D37+E37</f>
        <v>8</v>
      </c>
      <c r="G37" s="29">
        <f>COUNTIF(M37:AT37,"S")</f>
        <v>2</v>
      </c>
      <c r="H37" s="29">
        <f>IF(M37="I",180,0)+IF(N37="I",90,0)+IF(O37="I",180,0)+IF(P37="I",180,0)+IF(Q37="I",180,0)+IF(R37="I",90,0)+IF(S37="I",180,0)+IF(T37="I",105,0)+IF(U37="I",180,0)+IF(V37="I",180,0)+IF(W37="I",120,0)+IF(X37="I",120,0)+IF(Y37="I",180,0)+IF(Z37="I",180,0)+IF(AA37="I",120,0)+IF(AB37="I",180,0)+IF(AC37="I",120,0)+IF(AD37="I",150,0)+IF(AE37="I",180,0)+IF(AF37="I",180,0)+IF(AG37="I",120,0)+IF(AH37="I",120,0)+IF(AI37="I",180,0)+IF(AJ37="I",120,0)+IF(AK37="I",180,0)+IF(AL37="I",150,0)+IF(AM37="I",180,0)+IF(AN37="I",60,0)+IF(AO37="I",180,0)+IF(AP37="I",180,0)+IF(AQ37="I",180,0)+IF(AR37="I",195,0)+IF(AS37="I",60,0)+IF(AT37="I",60,0)+IF(M37="AA",225,0)+IF(N37="AA",115,0)+IF(O37="AA",225,0)+IF(P37="AA",225,0)+IF(Q37="AA",225,0)+IF(R37="AA",115,0)+IF(S37="AA",225,0)+IF(T37="AA",135,0)+IF(U37="AA",225,0)+IF(V37="AA",225,0)+IF(W37="AA",150,0)+IF(X37="AA",150,0)+IF(Y37="AA",225,0)+IF(Z37="AA",225,0)+IF(AA37="AA",150,0)+IF(AB37="AA",225,0)+IF(AC37="AA",150,0)+IF(AD37="AA",190,0)+IF(AE37="AA",225,0)+IF(AF37="AA",225,0)+IF(AG37="AA",150,0)+IF(AH37="AA",150,0)+IF(AI37="AA",225,0)+IF(AJ37="AA",150,0)+IF(AK37="AA",225,0)+IF(AL37="AA",190,0)+IF(AM37="AA",225,0)+IF(AN37="AA",75,0)+IF(AO37="AA",225,0)+IF(AP37="AA",225,0)+IF(AQ37="AA",225,0)+IF(AR37="AA",245,0)+IF(AS37="AA",75,0)+IF(AT37="AA",75,0)</f>
        <v>1125</v>
      </c>
      <c r="I37" s="29">
        <f>COUNTIF(M37,"I")+COUNTIF(M37,"AA")+COUNTIF(M37,"S")+COUNTIF(N37,"I")+COUNTIF(N37,"AA")+COUNTIF(N37,"S")+COUNTIF(P37,"I")+COUNTIF(P37,"AA")+COUNTIF(P37,"S")+COUNTIF(R37,"I")+COUNTIF(R37,"AA")+COUNTIF(R37,"S")+COUNTIF(T37,"I")+COUNTIF(T37,"AA")+COUNTIF(T37,"S")+COUNTIF(V37,"I")+COUNTIF(V37,"AA")+COUNTIF(V37,"S")+COUNTIF(Y37,"I")+COUNTIF(Y37,"AA")+COUNTIF(Y37,"S")+COUNTIF(AA37,"I")+COUNTIF(AA37,"AA")+COUNTIF(AA37,"S")+COUNTIF(AC37,"I")+COUNTIF(AC37,"AA")+COUNTIF(AC37,"S")+COUNTIF(AD37,"I")+COUNTIF(AD37,"AA")+COUNTIF(AD37,"S")+COUNTIF(AF37,"I")+COUNTIF(AF37,"AA")+COUNTIF(AF37,"S")+COUNTIF(AH37,"I")+COUNTIF(AH37,"AA")+COUNTIF(AH37,"S")+COUNTIF(AK37,"I")+COUNTIF(AK37,"AA")+COUNTIF(AK37,"S")+COUNTIF(AM37,"I")+COUNTIF(AM37,"AA")+COUNTIF(AM37,"S")+COUNTIF(AP37,"I")+COUNTIF(AP37,"AA")+COUNTIF(AP37,"S")+COUNTIF(AR37,"I")+COUNTIF(AR37,"AA")+COUNTIF(AR37,"S")+COUNTIF(AT37,"I")+COUNTIF(AT37,"AA")+COUNTIF(AT37,"S")</f>
        <v>4</v>
      </c>
      <c r="J37" s="29">
        <f>COUNTIF(O37,"I")+COUNTIF(O37,"AA")+COUNTIF(O37,"S")+COUNTIF(Q37,"I")+COUNTIF(Q37,"AA")+COUNTIF(Q37,"S")+COUNTIF(S37,"I")+COUNTIF(S37,"AA")+COUNTIF(S37,"S")+COUNTIF(U37,"I")+COUNTIF(U37,"AA")+COUNTIF(U37,"S")+COUNTIF(W37,"I")+COUNTIF(W37,"AA")+COUNTIF(W37,"S")+COUNTIF(X37,"I")+COUNTIF(X37,"AA")+COUNTIF(X37,"S")+COUNTIF(Z37,"I")+COUNTIF(Z37,"AA")+COUNTIF(Z37,"S")+COUNTIF(AB37,"I")+COUNTIF(AB37,"AA")+COUNTIF(AB37,"S")+COUNTIF(AE37,"I")+COUNTIF(AE37,"AA")+COUNTIF(AE37,"S")+COUNTIF(AG37,"I")+COUNTIF(AG37,"AA")+COUNTIF(AG37,"S")+COUNTIF(AI37,"I")+COUNTIF(AI37,"AA")+COUNTIF(AI37,"S")+COUNTIF(AJ37,"I")+COUNTIF(AJ37,"AA")+COUNTIF(AJ37,"S")+COUNTIF(AL37,"I")+COUNTIF(AL37,"AA")+COUNTIF(AL37,"S")+COUNTIF(AN37,"I")+COUNTIF(AN37,"AA")+COUNTIF(AN37,"S")+COUNTIF(AO37,"I")+COUNTIF(AO37,"AA")+COUNTIF(AO37,"S")+COUNTIF(AQ37,"I")+COUNTIF(AQ37,"AA")+COUNTIF(AQ37,"S")+COUNTIF(AS37,"I")+COUNTIF(AS37,"AA")+COUNTIF(AS37,"S")</f>
        <v>6</v>
      </c>
      <c r="K37" s="29">
        <f>IF(AND((COUNTIF(N37,"I")+COUNTIF(N37,"AA")+COUNTIF(N37,"S"))&gt;0,(COUNTIF(O37,"I")+COUNTIF(O37,"AA")+COUNTIF(O37,"S"))&gt;0),1,0)+IF(AND((COUNTIF(P37,"I")+COUNTIF(P37,"AA")+COUNTIF(P37,"S"))&gt;0,(COUNTIF(Q37,"I")+COUNTIF(Q37,"AA")+COUNTIF(Q37,"S"))&gt;0),1,0)+IF(AND((COUNTIF(R37,"I")+COUNTIF(R37,"AA")+COUNTIF(R37,"S"))&gt;0,(COUNTIF(S37,"I")+COUNTIF(S37,"AA")+COUNTIF(S37,"S"))&gt;0),1,0)+IF(AND((COUNTIF(T37,"I")+COUNTIF(T37,"AA")+COUNTIF(T37,"S"))&gt;0,(COUNTIF(U37,"I")+COUNTIF(U37,"AA")+COUNTIF(U37,"S"))&gt;0),1,0)+IF(AND((COUNTIF(V37,"I")+COUNTIF(V37,"AA")+COUNTIF(V37,"S"))&gt;0,(COUNTIF(W37,"I")+COUNTIF(W37,"AA")+COUNTIF(W37,"S"))&gt;0),1,0)+IF(AND((COUNTIF(Y37,"I")+COUNTIF(Y37,"AA")+COUNTIF(Y37,"S"))&gt;0,(COUNTIF(Z37,"I")+COUNTIF(Z37,"AA")+COUNTIF(Z37,"S"))&gt;0),1,0)+IF(AND((COUNTIF(AA37,"I")+COUNTIF(AA37,"AA")+COUNTIF(AA37,"S"))&gt;0,(COUNTIF(AB37,"I")+COUNTIF(AB37,"AA")+COUNTIF(AB37,"S"))&gt;0),1,0)+IF(AND((COUNTIF(AD37,"I")+COUNTIF(AD37,"AA")+COUNTIF(AD37,"S"))&gt;0,(COUNTIF(AE37,"I")+COUNTIF(AE37,"AA")+COUNTIF(AE37,"S"))&gt;0),1,0)+IF(AND((COUNTIF(AF37,"I")+COUNTIF(AF37,"AA")+COUNTIF(AF37,"S"))&gt;0,(COUNTIF(AG37,"I")+COUNTIF(AG37,"AA")+COUNTIF(AG37,"S"))&gt;0),1,0)+IF(AND((COUNTIF(AH37,"I")+COUNTIF(AH37,"AA")+COUNTIF(AH37,"S"))&gt;0,(COUNTIF(AI37,"I")+COUNTIF(AI37,"AA")+COUNTIF(AI37,"S"))&gt;0),1,0)+IF(AND((COUNTIF(AK37,"I")+COUNTIF(AK37,"AA")+COUNTIF(AK37,"S"))&gt;0,(COUNTIF(AL37,"I")+COUNTIF(AL37,"AA")+COUNTIF(AL37,"S"))&gt;0),1,0)+IF(AND((COUNTIF(AM37,"I")+COUNTIF(AM37,"AA")+COUNTIF(AM37,"S"))&gt;0,(COUNTIF(AN37,"I")+COUNTIF(AN37,"AA")+COUNTIF(AN37,"S"))&gt;0),1,0)+IF(AND((COUNTIF(AP37,"I")+COUNTIF(AP37,"AA")+COUNTIF(AP37,"S"))&gt;0,(COUNTIF(AQ37,"I")+COUNTIF(AQ37,"AA")+COUNTIF(AQ37,"S"))&gt;0),1,0)+IF(AND((COUNTIF(AR37,"I")+COUNTIF(AR37,"AA")+COUNTIF(AR37,"S"))&gt;0,(COUNTIF(AS37,"I")+COUNTIF(AS37,"AA")+COUNTIF(AS37,"S"))&gt;0),1,0)</f>
        <v>0</v>
      </c>
      <c r="L37" s="22"/>
      <c r="M37" s="24"/>
      <c r="N37" s="24"/>
      <c r="O37" s="34" t="s">
        <v>24</v>
      </c>
      <c r="P37" s="34" t="s">
        <v>284</v>
      </c>
      <c r="Q37" s="24"/>
      <c r="R37" s="24" t="s">
        <v>283</v>
      </c>
      <c r="S37" s="24"/>
      <c r="T37" s="24"/>
      <c r="U37" s="24"/>
      <c r="V37" s="24"/>
      <c r="W37" s="24"/>
      <c r="X37" s="34" t="s">
        <v>285</v>
      </c>
      <c r="Y37" s="24"/>
      <c r="Z37" s="34" t="s">
        <v>284</v>
      </c>
      <c r="AA37" s="34" t="s">
        <v>24</v>
      </c>
      <c r="AB37" s="24"/>
      <c r="AC37" s="24"/>
      <c r="AD37" s="24"/>
      <c r="AE37" s="24" t="s">
        <v>283</v>
      </c>
      <c r="AF37" s="24"/>
      <c r="AG37" s="24"/>
      <c r="AH37" s="24"/>
      <c r="AI37" s="34" t="s">
        <v>285</v>
      </c>
      <c r="AJ37" s="34" t="s">
        <v>285</v>
      </c>
      <c r="AK37" s="24"/>
      <c r="AL37" s="24"/>
      <c r="AM37" s="24"/>
      <c r="AN37" s="34" t="s">
        <v>24</v>
      </c>
      <c r="AO37" s="24"/>
      <c r="AP37" s="24"/>
      <c r="AQ37" s="24"/>
      <c r="AR37" s="34" t="s">
        <v>285</v>
      </c>
      <c r="AS37" s="24"/>
      <c r="AT37" s="34" t="s">
        <v>285</v>
      </c>
    </row>
    <row r="38" spans="1:46" x14ac:dyDescent="0.3">
      <c r="A38" s="4" t="s">
        <v>255</v>
      </c>
      <c r="B38" s="4" t="s">
        <v>73</v>
      </c>
      <c r="C38" s="4"/>
      <c r="D38" s="29">
        <f>COUNTIF(M38:AT38,"I")</f>
        <v>5</v>
      </c>
      <c r="E38" s="29">
        <f>COUNTIF(M38:AT38,"AA")</f>
        <v>3</v>
      </c>
      <c r="F38" s="29">
        <f>D38+E38</f>
        <v>8</v>
      </c>
      <c r="G38" s="29">
        <f>COUNTIF(M38:AT38,"S")</f>
        <v>2</v>
      </c>
      <c r="H38" s="29">
        <f>IF(M38="I",180,0)+IF(N38="I",90,0)+IF(O38="I",180,0)+IF(P38="I",180,0)+IF(Q38="I",180,0)+IF(R38="I",90,0)+IF(S38="I",180,0)+IF(T38="I",105,0)+IF(U38="I",180,0)+IF(V38="I",180,0)+IF(W38="I",120,0)+IF(X38="I",120,0)+IF(Y38="I",180,0)+IF(Z38="I",180,0)+IF(AA38="I",120,0)+IF(AB38="I",180,0)+IF(AC38="I",120,0)+IF(AD38="I",150,0)+IF(AE38="I",180,0)+IF(AF38="I",180,0)+IF(AG38="I",120,0)+IF(AH38="I",120,0)+IF(AI38="I",180,0)+IF(AJ38="I",120,0)+IF(AK38="I",180,0)+IF(AL38="I",150,0)+IF(AM38="I",180,0)+IF(AN38="I",60,0)+IF(AO38="I",180,0)+IF(AP38="I",180,0)+IF(AQ38="I",180,0)+IF(AR38="I",195,0)+IF(AS38="I",60,0)+IF(AT38="I",60,0)+IF(M38="AA",225,0)+IF(N38="AA",115,0)+IF(O38="AA",225,0)+IF(P38="AA",225,0)+IF(Q38="AA",225,0)+IF(R38="AA",115,0)+IF(S38="AA",225,0)+IF(T38="AA",135,0)+IF(U38="AA",225,0)+IF(V38="AA",225,0)+IF(W38="AA",150,0)+IF(X38="AA",150,0)+IF(Y38="AA",225,0)+IF(Z38="AA",225,0)+IF(AA38="AA",150,0)+IF(AB38="AA",225,0)+IF(AC38="AA",150,0)+IF(AD38="AA",190,0)+IF(AE38="AA",225,0)+IF(AF38="AA",225,0)+IF(AG38="AA",150,0)+IF(AH38="AA",150,0)+IF(AI38="AA",225,0)+IF(AJ38="AA",150,0)+IF(AK38="AA",225,0)+IF(AL38="AA",190,0)+IF(AM38="AA",225,0)+IF(AN38="AA",75,0)+IF(AO38="AA",225,0)+IF(AP38="AA",225,0)+IF(AQ38="AA",225,0)+IF(AR38="AA",245,0)+IF(AS38="AA",75,0)+IF(AT38="AA",75,0)</f>
        <v>1200</v>
      </c>
      <c r="I38" s="29">
        <f>COUNTIF(M38,"I")+COUNTIF(M38,"AA")+COUNTIF(M38,"S")+COUNTIF(N38,"I")+COUNTIF(N38,"AA")+COUNTIF(N38,"S")+COUNTIF(P38,"I")+COUNTIF(P38,"AA")+COUNTIF(P38,"S")+COUNTIF(R38,"I")+COUNTIF(R38,"AA")+COUNTIF(R38,"S")+COUNTIF(T38,"I")+COUNTIF(T38,"AA")+COUNTIF(T38,"S")+COUNTIF(V38,"I")+COUNTIF(V38,"AA")+COUNTIF(V38,"S")+COUNTIF(Y38,"I")+COUNTIF(Y38,"AA")+COUNTIF(Y38,"S")+COUNTIF(AA38,"I")+COUNTIF(AA38,"AA")+COUNTIF(AA38,"S")+COUNTIF(AC38,"I")+COUNTIF(AC38,"AA")+COUNTIF(AC38,"S")+COUNTIF(AD38,"I")+COUNTIF(AD38,"AA")+COUNTIF(AD38,"S")+COUNTIF(AF38,"I")+COUNTIF(AF38,"AA")+COUNTIF(AF38,"S")+COUNTIF(AH38,"I")+COUNTIF(AH38,"AA")+COUNTIF(AH38,"S")+COUNTIF(AK38,"I")+COUNTIF(AK38,"AA")+COUNTIF(AK38,"S")+COUNTIF(AM38,"I")+COUNTIF(AM38,"AA")+COUNTIF(AM38,"S")+COUNTIF(AP38,"I")+COUNTIF(AP38,"AA")+COUNTIF(AP38,"S")+COUNTIF(AR38,"I")+COUNTIF(AR38,"AA")+COUNTIF(AR38,"S")+COUNTIF(AT38,"I")+COUNTIF(AT38,"AA")+COUNTIF(AT38,"S")</f>
        <v>4</v>
      </c>
      <c r="J38" s="29">
        <f>COUNTIF(O38,"I")+COUNTIF(O38,"AA")+COUNTIF(O38,"S")+COUNTIF(Q38,"I")+COUNTIF(Q38,"AA")+COUNTIF(Q38,"S")+COUNTIF(S38,"I")+COUNTIF(S38,"AA")+COUNTIF(S38,"S")+COUNTIF(U38,"I")+COUNTIF(U38,"AA")+COUNTIF(U38,"S")+COUNTIF(W38,"I")+COUNTIF(W38,"AA")+COUNTIF(W38,"S")+COUNTIF(X38,"I")+COUNTIF(X38,"AA")+COUNTIF(X38,"S")+COUNTIF(Z38,"I")+COUNTIF(Z38,"AA")+COUNTIF(Z38,"S")+COUNTIF(AB38,"I")+COUNTIF(AB38,"AA")+COUNTIF(AB38,"S")+COUNTIF(AE38,"I")+COUNTIF(AE38,"AA")+COUNTIF(AE38,"S")+COUNTIF(AG38,"I")+COUNTIF(AG38,"AA")+COUNTIF(AG38,"S")+COUNTIF(AI38,"I")+COUNTIF(AI38,"AA")+COUNTIF(AI38,"S")+COUNTIF(AJ38,"I")+COUNTIF(AJ38,"AA")+COUNTIF(AJ38,"S")+COUNTIF(AL38,"I")+COUNTIF(AL38,"AA")+COUNTIF(AL38,"S")+COUNTIF(AN38,"I")+COUNTIF(AN38,"AA")+COUNTIF(AN38,"S")+COUNTIF(AO38,"I")+COUNTIF(AO38,"AA")+COUNTIF(AO38,"S")+COUNTIF(AQ38,"I")+COUNTIF(AQ38,"AA")+COUNTIF(AQ38,"S")+COUNTIF(AS38,"I")+COUNTIF(AS38,"AA")+COUNTIF(AS38,"S")</f>
        <v>6</v>
      </c>
      <c r="K38" s="29">
        <f>IF(AND((COUNTIF(N38,"I")+COUNTIF(N38,"AA")+COUNTIF(N38,"S"))&gt;0,(COUNTIF(O38,"I")+COUNTIF(O38,"AA")+COUNTIF(O38,"S"))&gt;0),1,0)+IF(AND((COUNTIF(P38,"I")+COUNTIF(P38,"AA")+COUNTIF(P38,"S"))&gt;0,(COUNTIF(Q38,"I")+COUNTIF(Q38,"AA")+COUNTIF(Q38,"S"))&gt;0),1,0)+IF(AND((COUNTIF(R38,"I")+COUNTIF(R38,"AA")+COUNTIF(R38,"S"))&gt;0,(COUNTIF(S38,"I")+COUNTIF(S38,"AA")+COUNTIF(S38,"S"))&gt;0),1,0)+IF(AND((COUNTIF(T38,"I")+COUNTIF(T38,"AA")+COUNTIF(T38,"S"))&gt;0,(COUNTIF(U38,"I")+COUNTIF(U38,"AA")+COUNTIF(U38,"S"))&gt;0),1,0)+IF(AND((COUNTIF(V38,"I")+COUNTIF(V38,"AA")+COUNTIF(V38,"S"))&gt;0,(COUNTIF(W38,"I")+COUNTIF(W38,"AA")+COUNTIF(W38,"S"))&gt;0),1,0)+IF(AND((COUNTIF(Y38,"I")+COUNTIF(Y38,"AA")+COUNTIF(Y38,"S"))&gt;0,(COUNTIF(Z38,"I")+COUNTIF(Z38,"AA")+COUNTIF(Z38,"S"))&gt;0),1,0)+IF(AND((COUNTIF(AA38,"I")+COUNTIF(AA38,"AA")+COUNTIF(AA38,"S"))&gt;0,(COUNTIF(AB38,"I")+COUNTIF(AB38,"AA")+COUNTIF(AB38,"S"))&gt;0),1,0)+IF(AND((COUNTIF(AD38,"I")+COUNTIF(AD38,"AA")+COUNTIF(AD38,"S"))&gt;0,(COUNTIF(AE38,"I")+COUNTIF(AE38,"AA")+COUNTIF(AE38,"S"))&gt;0),1,0)+IF(AND((COUNTIF(AF38,"I")+COUNTIF(AF38,"AA")+COUNTIF(AF38,"S"))&gt;0,(COUNTIF(AG38,"I")+COUNTIF(AG38,"AA")+COUNTIF(AG38,"S"))&gt;0),1,0)+IF(AND((COUNTIF(AH38,"I")+COUNTIF(AH38,"AA")+COUNTIF(AH38,"S"))&gt;0,(COUNTIF(AI38,"I")+COUNTIF(AI38,"AA")+COUNTIF(AI38,"S"))&gt;0),1,0)+IF(AND((COUNTIF(AK38,"I")+COUNTIF(AK38,"AA")+COUNTIF(AK38,"S"))&gt;0,(COUNTIF(AL38,"I")+COUNTIF(AL38,"AA")+COUNTIF(AL38,"S"))&gt;0),1,0)+IF(AND((COUNTIF(AM38,"I")+COUNTIF(AM38,"AA")+COUNTIF(AM38,"S"))&gt;0,(COUNTIF(AN38,"I")+COUNTIF(AN38,"AA")+COUNTIF(AN38,"S"))&gt;0),1,0)+IF(AND((COUNTIF(AP38,"I")+COUNTIF(AP38,"AA")+COUNTIF(AP38,"S"))&gt;0,(COUNTIF(AQ38,"I")+COUNTIF(AQ38,"AA")+COUNTIF(AQ38,"S"))&gt;0),1,0)+IF(AND((COUNTIF(AR38,"I")+COUNTIF(AR38,"AA")+COUNTIF(AR38,"S"))&gt;0,(COUNTIF(AS38,"I")+COUNTIF(AS38,"AA")+COUNTIF(AS38,"S"))&gt;0),1,0)</f>
        <v>1</v>
      </c>
      <c r="L38" s="22"/>
      <c r="M38" s="24"/>
      <c r="N38" s="34" t="s">
        <v>285</v>
      </c>
      <c r="O38" s="24" t="s">
        <v>283</v>
      </c>
      <c r="P38" s="34" t="s">
        <v>285</v>
      </c>
      <c r="Q38" s="24"/>
      <c r="R38" s="24"/>
      <c r="S38" s="24"/>
      <c r="T38" s="24"/>
      <c r="U38" s="34" t="s">
        <v>284</v>
      </c>
      <c r="V38" s="24"/>
      <c r="W38" s="24"/>
      <c r="X38" s="34" t="s">
        <v>24</v>
      </c>
      <c r="Y38" s="24" t="s">
        <v>283</v>
      </c>
      <c r="Z38" s="34" t="s">
        <v>285</v>
      </c>
      <c r="AA38" s="24"/>
      <c r="AB38" s="24"/>
      <c r="AC38" s="24"/>
      <c r="AD38" s="24"/>
      <c r="AE38" s="24"/>
      <c r="AF38" s="24"/>
      <c r="AG38" s="24"/>
      <c r="AH38" s="34" t="s">
        <v>285</v>
      </c>
      <c r="AI38" s="34" t="s">
        <v>285</v>
      </c>
      <c r="AJ38" s="24"/>
      <c r="AK38" s="24"/>
      <c r="AL38" s="24"/>
      <c r="AM38" s="24"/>
      <c r="AN38" s="34" t="s">
        <v>284</v>
      </c>
      <c r="AO38" s="24"/>
      <c r="AP38" s="24"/>
      <c r="AQ38" s="34" t="s">
        <v>24</v>
      </c>
      <c r="AR38" s="24"/>
      <c r="AS38" s="24"/>
      <c r="AT38" s="34" t="s">
        <v>24</v>
      </c>
    </row>
    <row r="39" spans="1:46" x14ac:dyDescent="0.3">
      <c r="A39" s="4" t="s">
        <v>256</v>
      </c>
      <c r="B39" s="4" t="s">
        <v>73</v>
      </c>
      <c r="C39" s="4"/>
      <c r="D39" s="29">
        <f>COUNTIF(M39:AT39,"I")</f>
        <v>5</v>
      </c>
      <c r="E39" s="29">
        <f>COUNTIF(M39:AT39,"AA")</f>
        <v>3</v>
      </c>
      <c r="F39" s="29">
        <f>D39+E39</f>
        <v>8</v>
      </c>
      <c r="G39" s="29">
        <f>COUNTIF(M39:AT39,"S")</f>
        <v>2</v>
      </c>
      <c r="H39" s="29">
        <f>IF(M39="I",180,0)+IF(N39="I",90,0)+IF(O39="I",180,0)+IF(P39="I",180,0)+IF(Q39="I",180,0)+IF(R39="I",90,0)+IF(S39="I",180,0)+IF(T39="I",105,0)+IF(U39="I",180,0)+IF(V39="I",180,0)+IF(W39="I",120,0)+IF(X39="I",120,0)+IF(Y39="I",180,0)+IF(Z39="I",180,0)+IF(AA39="I",120,0)+IF(AB39="I",180,0)+IF(AC39="I",120,0)+IF(AD39="I",150,0)+IF(AE39="I",180,0)+IF(AF39="I",180,0)+IF(AG39="I",120,0)+IF(AH39="I",120,0)+IF(AI39="I",180,0)+IF(AJ39="I",120,0)+IF(AK39="I",180,0)+IF(AL39="I",150,0)+IF(AM39="I",180,0)+IF(AN39="I",60,0)+IF(AO39="I",180,0)+IF(AP39="I",180,0)+IF(AQ39="I",180,0)+IF(AR39="I",195,0)+IF(AS39="I",60,0)+IF(AT39="I",60,0)+IF(M39="AA",225,0)+IF(N39="AA",115,0)+IF(O39="AA",225,0)+IF(P39="AA",225,0)+IF(Q39="AA",225,0)+IF(R39="AA",115,0)+IF(S39="AA",225,0)+IF(T39="AA",135,0)+IF(U39="AA",225,0)+IF(V39="AA",225,0)+IF(W39="AA",150,0)+IF(X39="AA",150,0)+IF(Y39="AA",225,0)+IF(Z39="AA",225,0)+IF(AA39="AA",150,0)+IF(AB39="AA",225,0)+IF(AC39="AA",150,0)+IF(AD39="AA",190,0)+IF(AE39="AA",225,0)+IF(AF39="AA",225,0)+IF(AG39="AA",150,0)+IF(AH39="AA",150,0)+IF(AI39="AA",225,0)+IF(AJ39="AA",150,0)+IF(AK39="AA",225,0)+IF(AL39="AA",190,0)+IF(AM39="AA",225,0)+IF(AN39="AA",75,0)+IF(AO39="AA",225,0)+IF(AP39="AA",225,0)+IF(AQ39="AA",225,0)+IF(AR39="AA",245,0)+IF(AS39="AA",75,0)+IF(AT39="AA",75,0)</f>
        <v>1210</v>
      </c>
      <c r="I39" s="29">
        <f>COUNTIF(M39,"I")+COUNTIF(M39,"AA")+COUNTIF(M39,"S")+COUNTIF(N39,"I")+COUNTIF(N39,"AA")+COUNTIF(N39,"S")+COUNTIF(P39,"I")+COUNTIF(P39,"AA")+COUNTIF(P39,"S")+COUNTIF(R39,"I")+COUNTIF(R39,"AA")+COUNTIF(R39,"S")+COUNTIF(T39,"I")+COUNTIF(T39,"AA")+COUNTIF(T39,"S")+COUNTIF(V39,"I")+COUNTIF(V39,"AA")+COUNTIF(V39,"S")+COUNTIF(Y39,"I")+COUNTIF(Y39,"AA")+COUNTIF(Y39,"S")+COUNTIF(AA39,"I")+COUNTIF(AA39,"AA")+COUNTIF(AA39,"S")+COUNTIF(AC39,"I")+COUNTIF(AC39,"AA")+COUNTIF(AC39,"S")+COUNTIF(AD39,"I")+COUNTIF(AD39,"AA")+COUNTIF(AD39,"S")+COUNTIF(AF39,"I")+COUNTIF(AF39,"AA")+COUNTIF(AF39,"S")+COUNTIF(AH39,"I")+COUNTIF(AH39,"AA")+COUNTIF(AH39,"S")+COUNTIF(AK39,"I")+COUNTIF(AK39,"AA")+COUNTIF(AK39,"S")+COUNTIF(AM39,"I")+COUNTIF(AM39,"AA")+COUNTIF(AM39,"S")+COUNTIF(AP39,"I")+COUNTIF(AP39,"AA")+COUNTIF(AP39,"S")+COUNTIF(AR39,"I")+COUNTIF(AR39,"AA")+COUNTIF(AR39,"S")+COUNTIF(AT39,"I")+COUNTIF(AT39,"AA")+COUNTIF(AT39,"S")</f>
        <v>5</v>
      </c>
      <c r="J39" s="29">
        <f>COUNTIF(O39,"I")+COUNTIF(O39,"AA")+COUNTIF(O39,"S")+COUNTIF(Q39,"I")+COUNTIF(Q39,"AA")+COUNTIF(Q39,"S")+COUNTIF(S39,"I")+COUNTIF(S39,"AA")+COUNTIF(S39,"S")+COUNTIF(U39,"I")+COUNTIF(U39,"AA")+COUNTIF(U39,"S")+COUNTIF(W39,"I")+COUNTIF(W39,"AA")+COUNTIF(W39,"S")+COUNTIF(X39,"I")+COUNTIF(X39,"AA")+COUNTIF(X39,"S")+COUNTIF(Z39,"I")+COUNTIF(Z39,"AA")+COUNTIF(Z39,"S")+COUNTIF(AB39,"I")+COUNTIF(AB39,"AA")+COUNTIF(AB39,"S")+COUNTIF(AE39,"I")+COUNTIF(AE39,"AA")+COUNTIF(AE39,"S")+COUNTIF(AG39,"I")+COUNTIF(AG39,"AA")+COUNTIF(AG39,"S")+COUNTIF(AI39,"I")+COUNTIF(AI39,"AA")+COUNTIF(AI39,"S")+COUNTIF(AJ39,"I")+COUNTIF(AJ39,"AA")+COUNTIF(AJ39,"S")+COUNTIF(AL39,"I")+COUNTIF(AL39,"AA")+COUNTIF(AL39,"S")+COUNTIF(AN39,"I")+COUNTIF(AN39,"AA")+COUNTIF(AN39,"S")+COUNTIF(AO39,"I")+COUNTIF(AO39,"AA")+COUNTIF(AO39,"S")+COUNTIF(AQ39,"I")+COUNTIF(AQ39,"AA")+COUNTIF(AQ39,"S")+COUNTIF(AS39,"I")+COUNTIF(AS39,"AA")+COUNTIF(AS39,"S")</f>
        <v>5</v>
      </c>
      <c r="K39" s="29">
        <f>IF(AND((COUNTIF(N39,"I")+COUNTIF(N39,"AA")+COUNTIF(N39,"S"))&gt;0,(COUNTIF(O39,"I")+COUNTIF(O39,"AA")+COUNTIF(O39,"S"))&gt;0),1,0)+IF(AND((COUNTIF(P39,"I")+COUNTIF(P39,"AA")+COUNTIF(P39,"S"))&gt;0,(COUNTIF(Q39,"I")+COUNTIF(Q39,"AA")+COUNTIF(Q39,"S"))&gt;0),1,0)+IF(AND((COUNTIF(R39,"I")+COUNTIF(R39,"AA")+COUNTIF(R39,"S"))&gt;0,(COUNTIF(S39,"I")+COUNTIF(S39,"AA")+COUNTIF(S39,"S"))&gt;0),1,0)+IF(AND((COUNTIF(T39,"I")+COUNTIF(T39,"AA")+COUNTIF(T39,"S"))&gt;0,(COUNTIF(U39,"I")+COUNTIF(U39,"AA")+COUNTIF(U39,"S"))&gt;0),1,0)+IF(AND((COUNTIF(V39,"I")+COUNTIF(V39,"AA")+COUNTIF(V39,"S"))&gt;0,(COUNTIF(W39,"I")+COUNTIF(W39,"AA")+COUNTIF(W39,"S"))&gt;0),1,0)+IF(AND((COUNTIF(Y39,"I")+COUNTIF(Y39,"AA")+COUNTIF(Y39,"S"))&gt;0,(COUNTIF(Z39,"I")+COUNTIF(Z39,"AA")+COUNTIF(Z39,"S"))&gt;0),1,0)+IF(AND((COUNTIF(AA39,"I")+COUNTIF(AA39,"AA")+COUNTIF(AA39,"S"))&gt;0,(COUNTIF(AB39,"I")+COUNTIF(AB39,"AA")+COUNTIF(AB39,"S"))&gt;0),1,0)+IF(AND((COUNTIF(AD39,"I")+COUNTIF(AD39,"AA")+COUNTIF(AD39,"S"))&gt;0,(COUNTIF(AE39,"I")+COUNTIF(AE39,"AA")+COUNTIF(AE39,"S"))&gt;0),1,0)+IF(AND((COUNTIF(AF39,"I")+COUNTIF(AF39,"AA")+COUNTIF(AF39,"S"))&gt;0,(COUNTIF(AG39,"I")+COUNTIF(AG39,"AA")+COUNTIF(AG39,"S"))&gt;0),1,0)+IF(AND((COUNTIF(AH39,"I")+COUNTIF(AH39,"AA")+COUNTIF(AH39,"S"))&gt;0,(COUNTIF(AI39,"I")+COUNTIF(AI39,"AA")+COUNTIF(AI39,"S"))&gt;0),1,0)+IF(AND((COUNTIF(AK39,"I")+COUNTIF(AK39,"AA")+COUNTIF(AK39,"S"))&gt;0,(COUNTIF(AL39,"I")+COUNTIF(AL39,"AA")+COUNTIF(AL39,"S"))&gt;0),1,0)+IF(AND((COUNTIF(AM39,"I")+COUNTIF(AM39,"AA")+COUNTIF(AM39,"S"))&gt;0,(COUNTIF(AN39,"I")+COUNTIF(AN39,"AA")+COUNTIF(AN39,"S"))&gt;0),1,0)+IF(AND((COUNTIF(AP39,"I")+COUNTIF(AP39,"AA")+COUNTIF(AP39,"S"))&gt;0,(COUNTIF(AQ39,"I")+COUNTIF(AQ39,"AA")+COUNTIF(AQ39,"S"))&gt;0),1,0)+IF(AND((COUNTIF(AR39,"I")+COUNTIF(AR39,"AA")+COUNTIF(AR39,"S"))&gt;0,(COUNTIF(AS39,"I")+COUNTIF(AS39,"AA")+COUNTIF(AS39,"S"))&gt;0),1,0)</f>
        <v>0</v>
      </c>
      <c r="L39" s="22"/>
      <c r="M39" s="24"/>
      <c r="N39" s="24"/>
      <c r="O39" s="34" t="s">
        <v>24</v>
      </c>
      <c r="P39" s="34" t="s">
        <v>285</v>
      </c>
      <c r="Q39" s="24"/>
      <c r="R39" s="24"/>
      <c r="S39" s="24"/>
      <c r="T39" s="34" t="s">
        <v>284</v>
      </c>
      <c r="U39" s="24"/>
      <c r="V39" s="34" t="s">
        <v>284</v>
      </c>
      <c r="W39" s="24"/>
      <c r="X39" s="34" t="s">
        <v>285</v>
      </c>
      <c r="Y39" s="24"/>
      <c r="Z39" s="34" t="s">
        <v>285</v>
      </c>
      <c r="AA39" s="24"/>
      <c r="AB39" s="24"/>
      <c r="AC39" s="24"/>
      <c r="AD39" s="34" t="s">
        <v>24</v>
      </c>
      <c r="AE39" s="24"/>
      <c r="AF39" s="24"/>
      <c r="AG39" s="24"/>
      <c r="AH39" s="24"/>
      <c r="AI39" s="34" t="s">
        <v>285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34" t="s">
        <v>24</v>
      </c>
      <c r="AT39" s="34" t="s">
        <v>285</v>
      </c>
    </row>
    <row r="40" spans="1:46" x14ac:dyDescent="0.3">
      <c r="A40" s="4" t="s">
        <v>257</v>
      </c>
      <c r="B40" s="4" t="s">
        <v>73</v>
      </c>
      <c r="C40" s="4"/>
      <c r="D40" s="29">
        <f>COUNTIF(M40:AT40,"I")</f>
        <v>5</v>
      </c>
      <c r="E40" s="29">
        <f>COUNTIF(M40:AT40,"AA")</f>
        <v>3</v>
      </c>
      <c r="F40" s="29">
        <f>D40+E40</f>
        <v>8</v>
      </c>
      <c r="G40" s="29">
        <f>COUNTIF(M40:AT40,"S")</f>
        <v>2</v>
      </c>
      <c r="H40" s="29">
        <f>IF(M40="I",180,0)+IF(N40="I",90,0)+IF(O40="I",180,0)+IF(P40="I",180,0)+IF(Q40="I",180,0)+IF(R40="I",90,0)+IF(S40="I",180,0)+IF(T40="I",105,0)+IF(U40="I",180,0)+IF(V40="I",180,0)+IF(W40="I",120,0)+IF(X40="I",120,0)+IF(Y40="I",180,0)+IF(Z40="I",180,0)+IF(AA40="I",120,0)+IF(AB40="I",180,0)+IF(AC40="I",120,0)+IF(AD40="I",150,0)+IF(AE40="I",180,0)+IF(AF40="I",180,0)+IF(AG40="I",120,0)+IF(AH40="I",120,0)+IF(AI40="I",180,0)+IF(AJ40="I",120,0)+IF(AK40="I",180,0)+IF(AL40="I",150,0)+IF(AM40="I",180,0)+IF(AN40="I",60,0)+IF(AO40="I",180,0)+IF(AP40="I",180,0)+IF(AQ40="I",180,0)+IF(AR40="I",195,0)+IF(AS40="I",60,0)+IF(AT40="I",60,0)+IF(M40="AA",225,0)+IF(N40="AA",115,0)+IF(O40="AA",225,0)+IF(P40="AA",225,0)+IF(Q40="AA",225,0)+IF(R40="AA",115,0)+IF(S40="AA",225,0)+IF(T40="AA",135,0)+IF(U40="AA",225,0)+IF(V40="AA",225,0)+IF(W40="AA",150,0)+IF(X40="AA",150,0)+IF(Y40="AA",225,0)+IF(Z40="AA",225,0)+IF(AA40="AA",150,0)+IF(AB40="AA",225,0)+IF(AC40="AA",150,0)+IF(AD40="AA",190,0)+IF(AE40="AA",225,0)+IF(AF40="AA",225,0)+IF(AG40="AA",150,0)+IF(AH40="AA",150,0)+IF(AI40="AA",225,0)+IF(AJ40="AA",150,0)+IF(AK40="AA",225,0)+IF(AL40="AA",190,0)+IF(AM40="AA",225,0)+IF(AN40="AA",75,0)+IF(AO40="AA",225,0)+IF(AP40="AA",225,0)+IF(AQ40="AA",225,0)+IF(AR40="AA",245,0)+IF(AS40="AA",75,0)+IF(AT40="AA",75,0)</f>
        <v>1210</v>
      </c>
      <c r="I40" s="29">
        <f>COUNTIF(M40,"I")+COUNTIF(M40,"AA")+COUNTIF(M40,"S")+COUNTIF(N40,"I")+COUNTIF(N40,"AA")+COUNTIF(N40,"S")+COUNTIF(P40,"I")+COUNTIF(P40,"AA")+COUNTIF(P40,"S")+COUNTIF(R40,"I")+COUNTIF(R40,"AA")+COUNTIF(R40,"S")+COUNTIF(T40,"I")+COUNTIF(T40,"AA")+COUNTIF(T40,"S")+COUNTIF(V40,"I")+COUNTIF(V40,"AA")+COUNTIF(V40,"S")+COUNTIF(Y40,"I")+COUNTIF(Y40,"AA")+COUNTIF(Y40,"S")+COUNTIF(AA40,"I")+COUNTIF(AA40,"AA")+COUNTIF(AA40,"S")+COUNTIF(AC40,"I")+COUNTIF(AC40,"AA")+COUNTIF(AC40,"S")+COUNTIF(AD40,"I")+COUNTIF(AD40,"AA")+COUNTIF(AD40,"S")+COUNTIF(AF40,"I")+COUNTIF(AF40,"AA")+COUNTIF(AF40,"S")+COUNTIF(AH40,"I")+COUNTIF(AH40,"AA")+COUNTIF(AH40,"S")+COUNTIF(AK40,"I")+COUNTIF(AK40,"AA")+COUNTIF(AK40,"S")+COUNTIF(AM40,"I")+COUNTIF(AM40,"AA")+COUNTIF(AM40,"S")+COUNTIF(AP40,"I")+COUNTIF(AP40,"AA")+COUNTIF(AP40,"S")+COUNTIF(AR40,"I")+COUNTIF(AR40,"AA")+COUNTIF(AR40,"S")+COUNTIF(AT40,"I")+COUNTIF(AT40,"AA")+COUNTIF(AT40,"S")</f>
        <v>5</v>
      </c>
      <c r="J40" s="29">
        <f>COUNTIF(O40,"I")+COUNTIF(O40,"AA")+COUNTIF(O40,"S")+COUNTIF(Q40,"I")+COUNTIF(Q40,"AA")+COUNTIF(Q40,"S")+COUNTIF(S40,"I")+COUNTIF(S40,"AA")+COUNTIF(S40,"S")+COUNTIF(U40,"I")+COUNTIF(U40,"AA")+COUNTIF(U40,"S")+COUNTIF(W40,"I")+COUNTIF(W40,"AA")+COUNTIF(W40,"S")+COUNTIF(X40,"I")+COUNTIF(X40,"AA")+COUNTIF(X40,"S")+COUNTIF(Z40,"I")+COUNTIF(Z40,"AA")+COUNTIF(Z40,"S")+COUNTIF(AB40,"I")+COUNTIF(AB40,"AA")+COUNTIF(AB40,"S")+COUNTIF(AE40,"I")+COUNTIF(AE40,"AA")+COUNTIF(AE40,"S")+COUNTIF(AG40,"I")+COUNTIF(AG40,"AA")+COUNTIF(AG40,"S")+COUNTIF(AI40,"I")+COUNTIF(AI40,"AA")+COUNTIF(AI40,"S")+COUNTIF(AJ40,"I")+COUNTIF(AJ40,"AA")+COUNTIF(AJ40,"S")+COUNTIF(AL40,"I")+COUNTIF(AL40,"AA")+COUNTIF(AL40,"S")+COUNTIF(AN40,"I")+COUNTIF(AN40,"AA")+COUNTIF(AN40,"S")+COUNTIF(AO40,"I")+COUNTIF(AO40,"AA")+COUNTIF(AO40,"S")+COUNTIF(AQ40,"I")+COUNTIF(AQ40,"AA")+COUNTIF(AQ40,"S")+COUNTIF(AS40,"I")+COUNTIF(AS40,"AA")+COUNTIF(AS40,"S")</f>
        <v>5</v>
      </c>
      <c r="K40" s="29">
        <f>IF(AND((COUNTIF(N40,"I")+COUNTIF(N40,"AA")+COUNTIF(N40,"S"))&gt;0,(COUNTIF(O40,"I")+COUNTIF(O40,"AA")+COUNTIF(O40,"S"))&gt;0),1,0)+IF(AND((COUNTIF(P40,"I")+COUNTIF(P40,"AA")+COUNTIF(P40,"S"))&gt;0,(COUNTIF(Q40,"I")+COUNTIF(Q40,"AA")+COUNTIF(Q40,"S"))&gt;0),1,0)+IF(AND((COUNTIF(R40,"I")+COUNTIF(R40,"AA")+COUNTIF(R40,"S"))&gt;0,(COUNTIF(S40,"I")+COUNTIF(S40,"AA")+COUNTIF(S40,"S"))&gt;0),1,0)+IF(AND((COUNTIF(T40,"I")+COUNTIF(T40,"AA")+COUNTIF(T40,"S"))&gt;0,(COUNTIF(U40,"I")+COUNTIF(U40,"AA")+COUNTIF(U40,"S"))&gt;0),1,0)+IF(AND((COUNTIF(V40,"I")+COUNTIF(V40,"AA")+COUNTIF(V40,"S"))&gt;0,(COUNTIF(W40,"I")+COUNTIF(W40,"AA")+COUNTIF(W40,"S"))&gt;0),1,0)+IF(AND((COUNTIF(Y40,"I")+COUNTIF(Y40,"AA")+COUNTIF(Y40,"S"))&gt;0,(COUNTIF(Z40,"I")+COUNTIF(Z40,"AA")+COUNTIF(Z40,"S"))&gt;0),1,0)+IF(AND((COUNTIF(AA40,"I")+COUNTIF(AA40,"AA")+COUNTIF(AA40,"S"))&gt;0,(COUNTIF(AB40,"I")+COUNTIF(AB40,"AA")+COUNTIF(AB40,"S"))&gt;0),1,0)+IF(AND((COUNTIF(AD40,"I")+COUNTIF(AD40,"AA")+COUNTIF(AD40,"S"))&gt;0,(COUNTIF(AE40,"I")+COUNTIF(AE40,"AA")+COUNTIF(AE40,"S"))&gt;0),1,0)+IF(AND((COUNTIF(AF40,"I")+COUNTIF(AF40,"AA")+COUNTIF(AF40,"S"))&gt;0,(COUNTIF(AG40,"I")+COUNTIF(AG40,"AA")+COUNTIF(AG40,"S"))&gt;0),1,0)+IF(AND((COUNTIF(AH40,"I")+COUNTIF(AH40,"AA")+COUNTIF(AH40,"S"))&gt;0,(COUNTIF(AI40,"I")+COUNTIF(AI40,"AA")+COUNTIF(AI40,"S"))&gt;0),1,0)+IF(AND((COUNTIF(AK40,"I")+COUNTIF(AK40,"AA")+COUNTIF(AK40,"S"))&gt;0,(COUNTIF(AL40,"I")+COUNTIF(AL40,"AA")+COUNTIF(AL40,"S"))&gt;0),1,0)+IF(AND((COUNTIF(AM40,"I")+COUNTIF(AM40,"AA")+COUNTIF(AM40,"S"))&gt;0,(COUNTIF(AN40,"I")+COUNTIF(AN40,"AA")+COUNTIF(AN40,"S"))&gt;0),1,0)+IF(AND((COUNTIF(AP40,"I")+COUNTIF(AP40,"AA")+COUNTIF(AP40,"S"))&gt;0,(COUNTIF(AQ40,"I")+COUNTIF(AQ40,"AA")+COUNTIF(AQ40,"S"))&gt;0),1,0)+IF(AND((COUNTIF(AR40,"I")+COUNTIF(AR40,"AA")+COUNTIF(AR40,"S"))&gt;0,(COUNTIF(AS40,"I")+COUNTIF(AS40,"AA")+COUNTIF(AS40,"S"))&gt;0),1,0)</f>
        <v>0</v>
      </c>
      <c r="L40" s="22"/>
      <c r="M40" s="24"/>
      <c r="N40" s="24"/>
      <c r="O40" s="34" t="s">
        <v>24</v>
      </c>
      <c r="P40" s="34" t="s">
        <v>285</v>
      </c>
      <c r="Q40" s="24"/>
      <c r="R40" s="24"/>
      <c r="S40" s="24" t="s">
        <v>283</v>
      </c>
      <c r="T40" s="34" t="s">
        <v>284</v>
      </c>
      <c r="U40" s="24"/>
      <c r="V40" s="24"/>
      <c r="W40" s="24"/>
      <c r="X40" s="34" t="s">
        <v>285</v>
      </c>
      <c r="Y40" s="24"/>
      <c r="Z40" s="34" t="s">
        <v>285</v>
      </c>
      <c r="AA40" s="24"/>
      <c r="AB40" s="24"/>
      <c r="AC40" s="34" t="s">
        <v>284</v>
      </c>
      <c r="AD40" s="34" t="s">
        <v>24</v>
      </c>
      <c r="AE40" s="24"/>
      <c r="AF40" s="24" t="s">
        <v>283</v>
      </c>
      <c r="AG40" s="24"/>
      <c r="AH40" s="24"/>
      <c r="AI40" s="34" t="s">
        <v>285</v>
      </c>
      <c r="AJ40" s="24"/>
      <c r="AK40" s="24"/>
      <c r="AL40" s="24"/>
      <c r="AM40" s="24"/>
      <c r="AN40" s="24"/>
      <c r="AO40" s="24"/>
      <c r="AP40" s="24"/>
      <c r="AQ40" s="24"/>
      <c r="AR40" s="24"/>
      <c r="AS40" s="34" t="s">
        <v>24</v>
      </c>
      <c r="AT40" s="34" t="s">
        <v>285</v>
      </c>
    </row>
    <row r="41" spans="1:46" x14ac:dyDescent="0.3">
      <c r="A41" s="4" t="s">
        <v>258</v>
      </c>
      <c r="B41" s="4" t="s">
        <v>73</v>
      </c>
      <c r="C41" s="4"/>
      <c r="D41" s="29">
        <f>COUNTIF(M41:AT41,"I")</f>
        <v>6</v>
      </c>
      <c r="E41" s="29">
        <f>COUNTIF(M41:AT41,"AA")</f>
        <v>3</v>
      </c>
      <c r="F41" s="29">
        <f>D41+E41</f>
        <v>9</v>
      </c>
      <c r="G41" s="29">
        <f>COUNTIF(M41:AT41,"S")</f>
        <v>2</v>
      </c>
      <c r="H41" s="29">
        <f>IF(M41="I",180,0)+IF(N41="I",90,0)+IF(O41="I",180,0)+IF(P41="I",180,0)+IF(Q41="I",180,0)+IF(R41="I",90,0)+IF(S41="I",180,0)+IF(T41="I",105,0)+IF(U41="I",180,0)+IF(V41="I",180,0)+IF(W41="I",120,0)+IF(X41="I",120,0)+IF(Y41="I",180,0)+IF(Z41="I",180,0)+IF(AA41="I",120,0)+IF(AB41="I",180,0)+IF(AC41="I",120,0)+IF(AD41="I",150,0)+IF(AE41="I",180,0)+IF(AF41="I",180,0)+IF(AG41="I",120,0)+IF(AH41="I",120,0)+IF(AI41="I",180,0)+IF(AJ41="I",120,0)+IF(AK41="I",180,0)+IF(AL41="I",150,0)+IF(AM41="I",180,0)+IF(AN41="I",60,0)+IF(AO41="I",180,0)+IF(AP41="I",180,0)+IF(AQ41="I",180,0)+IF(AR41="I",195,0)+IF(AS41="I",60,0)+IF(AT41="I",60,0)+IF(M41="AA",225,0)+IF(N41="AA",115,0)+IF(O41="AA",225,0)+IF(P41="AA",225,0)+IF(Q41="AA",225,0)+IF(R41="AA",115,0)+IF(S41="AA",225,0)+IF(T41="AA",135,0)+IF(U41="AA",225,0)+IF(V41="AA",225,0)+IF(W41="AA",150,0)+IF(X41="AA",150,0)+IF(Y41="AA",225,0)+IF(Z41="AA",225,0)+IF(AA41="AA",150,0)+IF(AB41="AA",225,0)+IF(AC41="AA",150,0)+IF(AD41="AA",190,0)+IF(AE41="AA",225,0)+IF(AF41="AA",225,0)+IF(AG41="AA",150,0)+IF(AH41="AA",150,0)+IF(AI41="AA",225,0)+IF(AJ41="AA",150,0)+IF(AK41="AA",225,0)+IF(AL41="AA",190,0)+IF(AM41="AA",225,0)+IF(AN41="AA",75,0)+IF(AO41="AA",225,0)+IF(AP41="AA",225,0)+IF(AQ41="AA",225,0)+IF(AR41="AA",245,0)+IF(AS41="AA",75,0)+IF(AT41="AA",75,0)</f>
        <v>1320</v>
      </c>
      <c r="I41" s="29">
        <f>COUNTIF(M41,"I")+COUNTIF(M41,"AA")+COUNTIF(M41,"S")+COUNTIF(N41,"I")+COUNTIF(N41,"AA")+COUNTIF(N41,"S")+COUNTIF(P41,"I")+COUNTIF(P41,"AA")+COUNTIF(P41,"S")+COUNTIF(R41,"I")+COUNTIF(R41,"AA")+COUNTIF(R41,"S")+COUNTIF(T41,"I")+COUNTIF(T41,"AA")+COUNTIF(T41,"S")+COUNTIF(V41,"I")+COUNTIF(V41,"AA")+COUNTIF(V41,"S")+COUNTIF(Y41,"I")+COUNTIF(Y41,"AA")+COUNTIF(Y41,"S")+COUNTIF(AA41,"I")+COUNTIF(AA41,"AA")+COUNTIF(AA41,"S")+COUNTIF(AC41,"I")+COUNTIF(AC41,"AA")+COUNTIF(AC41,"S")+COUNTIF(AD41,"I")+COUNTIF(AD41,"AA")+COUNTIF(AD41,"S")+COUNTIF(AF41,"I")+COUNTIF(AF41,"AA")+COUNTIF(AF41,"S")+COUNTIF(AH41,"I")+COUNTIF(AH41,"AA")+COUNTIF(AH41,"S")+COUNTIF(AK41,"I")+COUNTIF(AK41,"AA")+COUNTIF(AK41,"S")+COUNTIF(AM41,"I")+COUNTIF(AM41,"AA")+COUNTIF(AM41,"S")+COUNTIF(AP41,"I")+COUNTIF(AP41,"AA")+COUNTIF(AP41,"S")+COUNTIF(AR41,"I")+COUNTIF(AR41,"AA")+COUNTIF(AR41,"S")+COUNTIF(AT41,"I")+COUNTIF(AT41,"AA")+COUNTIF(AT41,"S")</f>
        <v>8</v>
      </c>
      <c r="J41" s="29">
        <f>COUNTIF(O41,"I")+COUNTIF(O41,"AA")+COUNTIF(O41,"S")+COUNTIF(Q41,"I")+COUNTIF(Q41,"AA")+COUNTIF(Q41,"S")+COUNTIF(S41,"I")+COUNTIF(S41,"AA")+COUNTIF(S41,"S")+COUNTIF(U41,"I")+COUNTIF(U41,"AA")+COUNTIF(U41,"S")+COUNTIF(W41,"I")+COUNTIF(W41,"AA")+COUNTIF(W41,"S")+COUNTIF(X41,"I")+COUNTIF(X41,"AA")+COUNTIF(X41,"S")+COUNTIF(Z41,"I")+COUNTIF(Z41,"AA")+COUNTIF(Z41,"S")+COUNTIF(AB41,"I")+COUNTIF(AB41,"AA")+COUNTIF(AB41,"S")+COUNTIF(AE41,"I")+COUNTIF(AE41,"AA")+COUNTIF(AE41,"S")+COUNTIF(AG41,"I")+COUNTIF(AG41,"AA")+COUNTIF(AG41,"S")+COUNTIF(AI41,"I")+COUNTIF(AI41,"AA")+COUNTIF(AI41,"S")+COUNTIF(AJ41,"I")+COUNTIF(AJ41,"AA")+COUNTIF(AJ41,"S")+COUNTIF(AL41,"I")+COUNTIF(AL41,"AA")+COUNTIF(AL41,"S")+COUNTIF(AN41,"I")+COUNTIF(AN41,"AA")+COUNTIF(AN41,"S")+COUNTIF(AO41,"I")+COUNTIF(AO41,"AA")+COUNTIF(AO41,"S")+COUNTIF(AQ41,"I")+COUNTIF(AQ41,"AA")+COUNTIF(AQ41,"S")+COUNTIF(AS41,"I")+COUNTIF(AS41,"AA")+COUNTIF(AS41,"S")</f>
        <v>3</v>
      </c>
      <c r="K41" s="29">
        <f>IF(AND((COUNTIF(N41,"I")+COUNTIF(N41,"AA")+COUNTIF(N41,"S"))&gt;0,(COUNTIF(O41,"I")+COUNTIF(O41,"AA")+COUNTIF(O41,"S"))&gt;0),1,0)+IF(AND((COUNTIF(P41,"I")+COUNTIF(P41,"AA")+COUNTIF(P41,"S"))&gt;0,(COUNTIF(Q41,"I")+COUNTIF(Q41,"AA")+COUNTIF(Q41,"S"))&gt;0),1,0)+IF(AND((COUNTIF(R41,"I")+COUNTIF(R41,"AA")+COUNTIF(R41,"S"))&gt;0,(COUNTIF(S41,"I")+COUNTIF(S41,"AA")+COUNTIF(S41,"S"))&gt;0),1,0)+IF(AND((COUNTIF(T41,"I")+COUNTIF(T41,"AA")+COUNTIF(T41,"S"))&gt;0,(COUNTIF(U41,"I")+COUNTIF(U41,"AA")+COUNTIF(U41,"S"))&gt;0),1,0)+IF(AND((COUNTIF(V41,"I")+COUNTIF(V41,"AA")+COUNTIF(V41,"S"))&gt;0,(COUNTIF(W41,"I")+COUNTIF(W41,"AA")+COUNTIF(W41,"S"))&gt;0),1,0)+IF(AND((COUNTIF(Y41,"I")+COUNTIF(Y41,"AA")+COUNTIF(Y41,"S"))&gt;0,(COUNTIF(Z41,"I")+COUNTIF(Z41,"AA")+COUNTIF(Z41,"S"))&gt;0),1,0)+IF(AND((COUNTIF(AA41,"I")+COUNTIF(AA41,"AA")+COUNTIF(AA41,"S"))&gt;0,(COUNTIF(AB41,"I")+COUNTIF(AB41,"AA")+COUNTIF(AB41,"S"))&gt;0),1,0)+IF(AND((COUNTIF(AD41,"I")+COUNTIF(AD41,"AA")+COUNTIF(AD41,"S"))&gt;0,(COUNTIF(AE41,"I")+COUNTIF(AE41,"AA")+COUNTIF(AE41,"S"))&gt;0),1,0)+IF(AND((COUNTIF(AF41,"I")+COUNTIF(AF41,"AA")+COUNTIF(AF41,"S"))&gt;0,(COUNTIF(AG41,"I")+COUNTIF(AG41,"AA")+COUNTIF(AG41,"S"))&gt;0),1,0)+IF(AND((COUNTIF(AH41,"I")+COUNTIF(AH41,"AA")+COUNTIF(AH41,"S"))&gt;0,(COUNTIF(AI41,"I")+COUNTIF(AI41,"AA")+COUNTIF(AI41,"S"))&gt;0),1,0)+IF(AND((COUNTIF(AK41,"I")+COUNTIF(AK41,"AA")+COUNTIF(AK41,"S"))&gt;0,(COUNTIF(AL41,"I")+COUNTIF(AL41,"AA")+COUNTIF(AL41,"S"))&gt;0),1,0)+IF(AND((COUNTIF(AM41,"I")+COUNTIF(AM41,"AA")+COUNTIF(AM41,"S"))&gt;0,(COUNTIF(AN41,"I")+COUNTIF(AN41,"AA")+COUNTIF(AN41,"S"))&gt;0),1,0)+IF(AND((COUNTIF(AP41,"I")+COUNTIF(AP41,"AA")+COUNTIF(AP41,"S"))&gt;0,(COUNTIF(AQ41,"I")+COUNTIF(AQ41,"AA")+COUNTIF(AQ41,"S"))&gt;0),1,0)+IF(AND((COUNTIF(AR41,"I")+COUNTIF(AR41,"AA")+COUNTIF(AR41,"S"))&gt;0,(COUNTIF(AS41,"I")+COUNTIF(AS41,"AA")+COUNTIF(AS41,"S"))&gt;0),1,0)</f>
        <v>1</v>
      </c>
      <c r="L41" s="22"/>
      <c r="M41" s="34" t="s">
        <v>285</v>
      </c>
      <c r="N41" s="34" t="s">
        <v>285</v>
      </c>
      <c r="O41" s="24" t="s">
        <v>283</v>
      </c>
      <c r="P41" s="34" t="s">
        <v>285</v>
      </c>
      <c r="Q41" s="24"/>
      <c r="R41" s="24"/>
      <c r="S41" s="24"/>
      <c r="T41" s="34" t="s">
        <v>284</v>
      </c>
      <c r="U41" s="24"/>
      <c r="V41" s="24"/>
      <c r="W41" s="24"/>
      <c r="X41" s="34" t="s">
        <v>24</v>
      </c>
      <c r="Y41" s="24"/>
      <c r="Z41" s="24" t="s">
        <v>283</v>
      </c>
      <c r="AA41" s="34" t="s">
        <v>285</v>
      </c>
      <c r="AB41" s="24"/>
      <c r="AC41" s="24"/>
      <c r="AD41" s="24"/>
      <c r="AE41" s="24"/>
      <c r="AF41" s="24"/>
      <c r="AG41" s="24"/>
      <c r="AH41" s="34" t="s">
        <v>285</v>
      </c>
      <c r="AI41" s="34" t="s">
        <v>285</v>
      </c>
      <c r="AJ41" s="24"/>
      <c r="AK41" s="24"/>
      <c r="AL41" s="24"/>
      <c r="AM41" s="24"/>
      <c r="AN41" s="24"/>
      <c r="AO41" s="24"/>
      <c r="AP41" s="24"/>
      <c r="AQ41" s="34" t="s">
        <v>24</v>
      </c>
      <c r="AR41" s="34" t="s">
        <v>284</v>
      </c>
      <c r="AS41" s="24"/>
      <c r="AT41" s="34" t="s">
        <v>24</v>
      </c>
    </row>
    <row r="42" spans="1:46" x14ac:dyDescent="0.3">
      <c r="A42" s="4" t="s">
        <v>259</v>
      </c>
      <c r="B42" s="4" t="s">
        <v>73</v>
      </c>
      <c r="C42" s="4"/>
      <c r="D42" s="29">
        <f>COUNTIF(M42:AT42,"I")</f>
        <v>5</v>
      </c>
      <c r="E42" s="29">
        <f>COUNTIF(M42:AT42,"AA")</f>
        <v>3</v>
      </c>
      <c r="F42" s="29">
        <f>D42+E42</f>
        <v>8</v>
      </c>
      <c r="G42" s="29">
        <f>COUNTIF(M42:AT42,"S")</f>
        <v>2</v>
      </c>
      <c r="H42" s="29">
        <f>IF(M42="I",180,0)+IF(N42="I",90,0)+IF(O42="I",180,0)+IF(P42="I",180,0)+IF(Q42="I",180,0)+IF(R42="I",90,0)+IF(S42="I",180,0)+IF(T42="I",105,0)+IF(U42="I",180,0)+IF(V42="I",180,0)+IF(W42="I",120,0)+IF(X42="I",120,0)+IF(Y42="I",180,0)+IF(Z42="I",180,0)+IF(AA42="I",120,0)+IF(AB42="I",180,0)+IF(AC42="I",120,0)+IF(AD42="I",150,0)+IF(AE42="I",180,0)+IF(AF42="I",180,0)+IF(AG42="I",120,0)+IF(AH42="I",120,0)+IF(AI42="I",180,0)+IF(AJ42="I",120,0)+IF(AK42="I",180,0)+IF(AL42="I",150,0)+IF(AM42="I",180,0)+IF(AN42="I",60,0)+IF(AO42="I",180,0)+IF(AP42="I",180,0)+IF(AQ42="I",180,0)+IF(AR42="I",195,0)+IF(AS42="I",60,0)+IF(AT42="I",60,0)+IF(M42="AA",225,0)+IF(N42="AA",115,0)+IF(O42="AA",225,0)+IF(P42="AA",225,0)+IF(Q42="AA",225,0)+IF(R42="AA",115,0)+IF(S42="AA",225,0)+IF(T42="AA",135,0)+IF(U42="AA",225,0)+IF(V42="AA",225,0)+IF(W42="AA",150,0)+IF(X42="AA",150,0)+IF(Y42="AA",225,0)+IF(Z42="AA",225,0)+IF(AA42="AA",150,0)+IF(AB42="AA",225,0)+IF(AC42="AA",150,0)+IF(AD42="AA",190,0)+IF(AE42="AA",225,0)+IF(AF42="AA",225,0)+IF(AG42="AA",150,0)+IF(AH42="AA",150,0)+IF(AI42="AA",225,0)+IF(AJ42="AA",150,0)+IF(AK42="AA",225,0)+IF(AL42="AA",190,0)+IF(AM42="AA",225,0)+IF(AN42="AA",75,0)+IF(AO42="AA",225,0)+IF(AP42="AA",225,0)+IF(AQ42="AA",225,0)+IF(AR42="AA",245,0)+IF(AS42="AA",75,0)+IF(AT42="AA",75,0)</f>
        <v>1210</v>
      </c>
      <c r="I42" s="29">
        <f>COUNTIF(M42,"I")+COUNTIF(M42,"AA")+COUNTIF(M42,"S")+COUNTIF(N42,"I")+COUNTIF(N42,"AA")+COUNTIF(N42,"S")+COUNTIF(P42,"I")+COUNTIF(P42,"AA")+COUNTIF(P42,"S")+COUNTIF(R42,"I")+COUNTIF(R42,"AA")+COUNTIF(R42,"S")+COUNTIF(T42,"I")+COUNTIF(T42,"AA")+COUNTIF(T42,"S")+COUNTIF(V42,"I")+COUNTIF(V42,"AA")+COUNTIF(V42,"S")+COUNTIF(Y42,"I")+COUNTIF(Y42,"AA")+COUNTIF(Y42,"S")+COUNTIF(AA42,"I")+COUNTIF(AA42,"AA")+COUNTIF(AA42,"S")+COUNTIF(AC42,"I")+COUNTIF(AC42,"AA")+COUNTIF(AC42,"S")+COUNTIF(AD42,"I")+COUNTIF(AD42,"AA")+COUNTIF(AD42,"S")+COUNTIF(AF42,"I")+COUNTIF(AF42,"AA")+COUNTIF(AF42,"S")+COUNTIF(AH42,"I")+COUNTIF(AH42,"AA")+COUNTIF(AH42,"S")+COUNTIF(AK42,"I")+COUNTIF(AK42,"AA")+COUNTIF(AK42,"S")+COUNTIF(AM42,"I")+COUNTIF(AM42,"AA")+COUNTIF(AM42,"S")+COUNTIF(AP42,"I")+COUNTIF(AP42,"AA")+COUNTIF(AP42,"S")+COUNTIF(AR42,"I")+COUNTIF(AR42,"AA")+COUNTIF(AR42,"S")+COUNTIF(AT42,"I")+COUNTIF(AT42,"AA")+COUNTIF(AT42,"S")</f>
        <v>3</v>
      </c>
      <c r="J42" s="29">
        <f>COUNTIF(O42,"I")+COUNTIF(O42,"AA")+COUNTIF(O42,"S")+COUNTIF(Q42,"I")+COUNTIF(Q42,"AA")+COUNTIF(Q42,"S")+COUNTIF(S42,"I")+COUNTIF(S42,"AA")+COUNTIF(S42,"S")+COUNTIF(U42,"I")+COUNTIF(U42,"AA")+COUNTIF(U42,"S")+COUNTIF(W42,"I")+COUNTIF(W42,"AA")+COUNTIF(W42,"S")+COUNTIF(X42,"I")+COUNTIF(X42,"AA")+COUNTIF(X42,"S")+COUNTIF(Z42,"I")+COUNTIF(Z42,"AA")+COUNTIF(Z42,"S")+COUNTIF(AB42,"I")+COUNTIF(AB42,"AA")+COUNTIF(AB42,"S")+COUNTIF(AE42,"I")+COUNTIF(AE42,"AA")+COUNTIF(AE42,"S")+COUNTIF(AG42,"I")+COUNTIF(AG42,"AA")+COUNTIF(AG42,"S")+COUNTIF(AI42,"I")+COUNTIF(AI42,"AA")+COUNTIF(AI42,"S")+COUNTIF(AJ42,"I")+COUNTIF(AJ42,"AA")+COUNTIF(AJ42,"S")+COUNTIF(AL42,"I")+COUNTIF(AL42,"AA")+COUNTIF(AL42,"S")+COUNTIF(AN42,"I")+COUNTIF(AN42,"AA")+COUNTIF(AN42,"S")+COUNTIF(AO42,"I")+COUNTIF(AO42,"AA")+COUNTIF(AO42,"S")+COUNTIF(AQ42,"I")+COUNTIF(AQ42,"AA")+COUNTIF(AQ42,"S")+COUNTIF(AS42,"I")+COUNTIF(AS42,"AA")+COUNTIF(AS42,"S")</f>
        <v>7</v>
      </c>
      <c r="K42" s="29">
        <f>IF(AND((COUNTIF(N42,"I")+COUNTIF(N42,"AA")+COUNTIF(N42,"S"))&gt;0,(COUNTIF(O42,"I")+COUNTIF(O42,"AA")+COUNTIF(O42,"S"))&gt;0),1,0)+IF(AND((COUNTIF(P42,"I")+COUNTIF(P42,"AA")+COUNTIF(P42,"S"))&gt;0,(COUNTIF(Q42,"I")+COUNTIF(Q42,"AA")+COUNTIF(Q42,"S"))&gt;0),1,0)+IF(AND((COUNTIF(R42,"I")+COUNTIF(R42,"AA")+COUNTIF(R42,"S"))&gt;0,(COUNTIF(S42,"I")+COUNTIF(S42,"AA")+COUNTIF(S42,"S"))&gt;0),1,0)+IF(AND((COUNTIF(T42,"I")+COUNTIF(T42,"AA")+COUNTIF(T42,"S"))&gt;0,(COUNTIF(U42,"I")+COUNTIF(U42,"AA")+COUNTIF(U42,"S"))&gt;0),1,0)+IF(AND((COUNTIF(V42,"I")+COUNTIF(V42,"AA")+COUNTIF(V42,"S"))&gt;0,(COUNTIF(W42,"I")+COUNTIF(W42,"AA")+COUNTIF(W42,"S"))&gt;0),1,0)+IF(AND((COUNTIF(Y42,"I")+COUNTIF(Y42,"AA")+COUNTIF(Y42,"S"))&gt;0,(COUNTIF(Z42,"I")+COUNTIF(Z42,"AA")+COUNTIF(Z42,"S"))&gt;0),1,0)+IF(AND((COUNTIF(AA42,"I")+COUNTIF(AA42,"AA")+COUNTIF(AA42,"S"))&gt;0,(COUNTIF(AB42,"I")+COUNTIF(AB42,"AA")+COUNTIF(AB42,"S"))&gt;0),1,0)+IF(AND((COUNTIF(AD42,"I")+COUNTIF(AD42,"AA")+COUNTIF(AD42,"S"))&gt;0,(COUNTIF(AE42,"I")+COUNTIF(AE42,"AA")+COUNTIF(AE42,"S"))&gt;0),1,0)+IF(AND((COUNTIF(AF42,"I")+COUNTIF(AF42,"AA")+COUNTIF(AF42,"S"))&gt;0,(COUNTIF(AG42,"I")+COUNTIF(AG42,"AA")+COUNTIF(AG42,"S"))&gt;0),1,0)+IF(AND((COUNTIF(AH42,"I")+COUNTIF(AH42,"AA")+COUNTIF(AH42,"S"))&gt;0,(COUNTIF(AI42,"I")+COUNTIF(AI42,"AA")+COUNTIF(AI42,"S"))&gt;0),1,0)+IF(AND((COUNTIF(AK42,"I")+COUNTIF(AK42,"AA")+COUNTIF(AK42,"S"))&gt;0,(COUNTIF(AL42,"I")+COUNTIF(AL42,"AA")+COUNTIF(AL42,"S"))&gt;0),1,0)+IF(AND((COUNTIF(AM42,"I")+COUNTIF(AM42,"AA")+COUNTIF(AM42,"S"))&gt;0,(COUNTIF(AN42,"I")+COUNTIF(AN42,"AA")+COUNTIF(AN42,"S"))&gt;0),1,0)+IF(AND((COUNTIF(AP42,"I")+COUNTIF(AP42,"AA")+COUNTIF(AP42,"S"))&gt;0,(COUNTIF(AQ42,"I")+COUNTIF(AQ42,"AA")+COUNTIF(AQ42,"S"))&gt;0),1,0)+IF(AND((COUNTIF(AR42,"I")+COUNTIF(AR42,"AA")+COUNTIF(AR42,"S"))&gt;0,(COUNTIF(AS42,"I")+COUNTIF(AS42,"AA")+COUNTIF(AS42,"S"))&gt;0),1,0)</f>
        <v>0</v>
      </c>
      <c r="L42" s="22"/>
      <c r="M42" s="24"/>
      <c r="N42" s="24"/>
      <c r="O42" s="34" t="s">
        <v>24</v>
      </c>
      <c r="P42" s="34" t="s">
        <v>285</v>
      </c>
      <c r="Q42" s="24"/>
      <c r="R42" s="24"/>
      <c r="S42" s="24"/>
      <c r="T42" s="24"/>
      <c r="U42" s="34" t="s">
        <v>284</v>
      </c>
      <c r="V42" s="24" t="s">
        <v>283</v>
      </c>
      <c r="W42" s="24"/>
      <c r="X42" s="34" t="s">
        <v>285</v>
      </c>
      <c r="Y42" s="24"/>
      <c r="Z42" s="34" t="s">
        <v>285</v>
      </c>
      <c r="AA42" s="24"/>
      <c r="AB42" s="24"/>
      <c r="AC42" s="24"/>
      <c r="AD42" s="34" t="s">
        <v>24</v>
      </c>
      <c r="AE42" s="24"/>
      <c r="AF42" s="24"/>
      <c r="AG42" s="24"/>
      <c r="AH42" s="24"/>
      <c r="AI42" s="34" t="s">
        <v>285</v>
      </c>
      <c r="AJ42" s="24"/>
      <c r="AK42" s="24"/>
      <c r="AL42" s="24"/>
      <c r="AM42" s="24"/>
      <c r="AN42" s="34" t="s">
        <v>284</v>
      </c>
      <c r="AO42" s="24"/>
      <c r="AP42" s="24"/>
      <c r="AQ42" s="24"/>
      <c r="AR42" s="24"/>
      <c r="AS42" s="34" t="s">
        <v>24</v>
      </c>
      <c r="AT42" s="34" t="s">
        <v>285</v>
      </c>
    </row>
    <row r="43" spans="1:46" x14ac:dyDescent="0.3">
      <c r="A43" s="4" t="s">
        <v>260</v>
      </c>
      <c r="B43" s="4" t="s">
        <v>73</v>
      </c>
      <c r="C43" s="4"/>
      <c r="D43" s="29">
        <f>COUNTIF(M43:AT43,"I")</f>
        <v>5</v>
      </c>
      <c r="E43" s="29">
        <f>COUNTIF(M43:AT43,"AA")</f>
        <v>3</v>
      </c>
      <c r="F43" s="29">
        <f>D43+E43</f>
        <v>8</v>
      </c>
      <c r="G43" s="29">
        <f>COUNTIF(M43:AT43,"S")</f>
        <v>2</v>
      </c>
      <c r="H43" s="29">
        <f>IF(M43="I",180,0)+IF(N43="I",90,0)+IF(O43="I",180,0)+IF(P43="I",180,0)+IF(Q43="I",180,0)+IF(R43="I",90,0)+IF(S43="I",180,0)+IF(T43="I",105,0)+IF(U43="I",180,0)+IF(V43="I",180,0)+IF(W43="I",120,0)+IF(X43="I",120,0)+IF(Y43="I",180,0)+IF(Z43="I",180,0)+IF(AA43="I",120,0)+IF(AB43="I",180,0)+IF(AC43="I",120,0)+IF(AD43="I",150,0)+IF(AE43="I",180,0)+IF(AF43="I",180,0)+IF(AG43="I",120,0)+IF(AH43="I",120,0)+IF(AI43="I",180,0)+IF(AJ43="I",120,0)+IF(AK43="I",180,0)+IF(AL43="I",150,0)+IF(AM43="I",180,0)+IF(AN43="I",60,0)+IF(AO43="I",180,0)+IF(AP43="I",180,0)+IF(AQ43="I",180,0)+IF(AR43="I",195,0)+IF(AS43="I",60,0)+IF(AT43="I",60,0)+IF(M43="AA",225,0)+IF(N43="AA",115,0)+IF(O43="AA",225,0)+IF(P43="AA",225,0)+IF(Q43="AA",225,0)+IF(R43="AA",115,0)+IF(S43="AA",225,0)+IF(T43="AA",135,0)+IF(U43="AA",225,0)+IF(V43="AA",225,0)+IF(W43="AA",150,0)+IF(X43="AA",150,0)+IF(Y43="AA",225,0)+IF(Z43="AA",225,0)+IF(AA43="AA",150,0)+IF(AB43="AA",225,0)+IF(AC43="AA",150,0)+IF(AD43="AA",190,0)+IF(AE43="AA",225,0)+IF(AF43="AA",225,0)+IF(AG43="AA",150,0)+IF(AH43="AA",150,0)+IF(AI43="AA",225,0)+IF(AJ43="AA",150,0)+IF(AK43="AA",225,0)+IF(AL43="AA",190,0)+IF(AM43="AA",225,0)+IF(AN43="AA",75,0)+IF(AO43="AA",225,0)+IF(AP43="AA",225,0)+IF(AQ43="AA",225,0)+IF(AR43="AA",245,0)+IF(AS43="AA",75,0)+IF(AT43="AA",75,0)</f>
        <v>1230</v>
      </c>
      <c r="I43" s="29">
        <f>COUNTIF(M43,"I")+COUNTIF(M43,"AA")+COUNTIF(M43,"S")+COUNTIF(N43,"I")+COUNTIF(N43,"AA")+COUNTIF(N43,"S")+COUNTIF(P43,"I")+COUNTIF(P43,"AA")+COUNTIF(P43,"S")+COUNTIF(R43,"I")+COUNTIF(R43,"AA")+COUNTIF(R43,"S")+COUNTIF(T43,"I")+COUNTIF(T43,"AA")+COUNTIF(T43,"S")+COUNTIF(V43,"I")+COUNTIF(V43,"AA")+COUNTIF(V43,"S")+COUNTIF(Y43,"I")+COUNTIF(Y43,"AA")+COUNTIF(Y43,"S")+COUNTIF(AA43,"I")+COUNTIF(AA43,"AA")+COUNTIF(AA43,"S")+COUNTIF(AC43,"I")+COUNTIF(AC43,"AA")+COUNTIF(AC43,"S")+COUNTIF(AD43,"I")+COUNTIF(AD43,"AA")+COUNTIF(AD43,"S")+COUNTIF(AF43,"I")+COUNTIF(AF43,"AA")+COUNTIF(AF43,"S")+COUNTIF(AH43,"I")+COUNTIF(AH43,"AA")+COUNTIF(AH43,"S")+COUNTIF(AK43,"I")+COUNTIF(AK43,"AA")+COUNTIF(AK43,"S")+COUNTIF(AM43,"I")+COUNTIF(AM43,"AA")+COUNTIF(AM43,"S")+COUNTIF(AP43,"I")+COUNTIF(AP43,"AA")+COUNTIF(AP43,"S")+COUNTIF(AR43,"I")+COUNTIF(AR43,"AA")+COUNTIF(AR43,"S")+COUNTIF(AT43,"I")+COUNTIF(AT43,"AA")+COUNTIF(AT43,"S")</f>
        <v>2</v>
      </c>
      <c r="J43" s="29">
        <f>COUNTIF(O43,"I")+COUNTIF(O43,"AA")+COUNTIF(O43,"S")+COUNTIF(Q43,"I")+COUNTIF(Q43,"AA")+COUNTIF(Q43,"S")+COUNTIF(S43,"I")+COUNTIF(S43,"AA")+COUNTIF(S43,"S")+COUNTIF(U43,"I")+COUNTIF(U43,"AA")+COUNTIF(U43,"S")+COUNTIF(W43,"I")+COUNTIF(W43,"AA")+COUNTIF(W43,"S")+COUNTIF(X43,"I")+COUNTIF(X43,"AA")+COUNTIF(X43,"S")+COUNTIF(Z43,"I")+COUNTIF(Z43,"AA")+COUNTIF(Z43,"S")+COUNTIF(AB43,"I")+COUNTIF(AB43,"AA")+COUNTIF(AB43,"S")+COUNTIF(AE43,"I")+COUNTIF(AE43,"AA")+COUNTIF(AE43,"S")+COUNTIF(AG43,"I")+COUNTIF(AG43,"AA")+COUNTIF(AG43,"S")+COUNTIF(AI43,"I")+COUNTIF(AI43,"AA")+COUNTIF(AI43,"S")+COUNTIF(AJ43,"I")+COUNTIF(AJ43,"AA")+COUNTIF(AJ43,"S")+COUNTIF(AL43,"I")+COUNTIF(AL43,"AA")+COUNTIF(AL43,"S")+COUNTIF(AN43,"I")+COUNTIF(AN43,"AA")+COUNTIF(AN43,"S")+COUNTIF(AO43,"I")+COUNTIF(AO43,"AA")+COUNTIF(AO43,"S")+COUNTIF(AQ43,"I")+COUNTIF(AQ43,"AA")+COUNTIF(AQ43,"S")+COUNTIF(AS43,"I")+COUNTIF(AS43,"AA")+COUNTIF(AS43,"S")</f>
        <v>8</v>
      </c>
      <c r="K43" s="29">
        <f>IF(AND((COUNTIF(N43,"I")+COUNTIF(N43,"AA")+COUNTIF(N43,"S"))&gt;0,(COUNTIF(O43,"I")+COUNTIF(O43,"AA")+COUNTIF(O43,"S"))&gt;0),1,0)+IF(AND((COUNTIF(P43,"I")+COUNTIF(P43,"AA")+COUNTIF(P43,"S"))&gt;0,(COUNTIF(Q43,"I")+COUNTIF(Q43,"AA")+COUNTIF(Q43,"S"))&gt;0),1,0)+IF(AND((COUNTIF(R43,"I")+COUNTIF(R43,"AA")+COUNTIF(R43,"S"))&gt;0,(COUNTIF(S43,"I")+COUNTIF(S43,"AA")+COUNTIF(S43,"S"))&gt;0),1,0)+IF(AND((COUNTIF(T43,"I")+COUNTIF(T43,"AA")+COUNTIF(T43,"S"))&gt;0,(COUNTIF(U43,"I")+COUNTIF(U43,"AA")+COUNTIF(U43,"S"))&gt;0),1,0)+IF(AND((COUNTIF(V43,"I")+COUNTIF(V43,"AA")+COUNTIF(V43,"S"))&gt;0,(COUNTIF(W43,"I")+COUNTIF(W43,"AA")+COUNTIF(W43,"S"))&gt;0),1,0)+IF(AND((COUNTIF(Y43,"I")+COUNTIF(Y43,"AA")+COUNTIF(Y43,"S"))&gt;0,(COUNTIF(Z43,"I")+COUNTIF(Z43,"AA")+COUNTIF(Z43,"S"))&gt;0),1,0)+IF(AND((COUNTIF(AA43,"I")+COUNTIF(AA43,"AA")+COUNTIF(AA43,"S"))&gt;0,(COUNTIF(AB43,"I")+COUNTIF(AB43,"AA")+COUNTIF(AB43,"S"))&gt;0),1,0)+IF(AND((COUNTIF(AD43,"I")+COUNTIF(AD43,"AA")+COUNTIF(AD43,"S"))&gt;0,(COUNTIF(AE43,"I")+COUNTIF(AE43,"AA")+COUNTIF(AE43,"S"))&gt;0),1,0)+IF(AND((COUNTIF(AF43,"I")+COUNTIF(AF43,"AA")+COUNTIF(AF43,"S"))&gt;0,(COUNTIF(AG43,"I")+COUNTIF(AG43,"AA")+COUNTIF(AG43,"S"))&gt;0),1,0)+IF(AND((COUNTIF(AH43,"I")+COUNTIF(AH43,"AA")+COUNTIF(AH43,"S"))&gt;0,(COUNTIF(AI43,"I")+COUNTIF(AI43,"AA")+COUNTIF(AI43,"S"))&gt;0),1,0)+IF(AND((COUNTIF(AK43,"I")+COUNTIF(AK43,"AA")+COUNTIF(AK43,"S"))&gt;0,(COUNTIF(AL43,"I")+COUNTIF(AL43,"AA")+COUNTIF(AL43,"S"))&gt;0),1,0)+IF(AND((COUNTIF(AM43,"I")+COUNTIF(AM43,"AA")+COUNTIF(AM43,"S"))&gt;0,(COUNTIF(AN43,"I")+COUNTIF(AN43,"AA")+COUNTIF(AN43,"S"))&gt;0),1,0)+IF(AND((COUNTIF(AP43,"I")+COUNTIF(AP43,"AA")+COUNTIF(AP43,"S"))&gt;0,(COUNTIF(AQ43,"I")+COUNTIF(AQ43,"AA")+COUNTIF(AQ43,"S"))&gt;0),1,0)+IF(AND((COUNTIF(AR43,"I")+COUNTIF(AR43,"AA")+COUNTIF(AR43,"S"))&gt;0,(COUNTIF(AS43,"I")+COUNTIF(AS43,"AA")+COUNTIF(AS43,"S"))&gt;0),1,0)</f>
        <v>0</v>
      </c>
      <c r="L43" s="22"/>
      <c r="M43" s="24"/>
      <c r="N43" s="24"/>
      <c r="O43" s="34" t="s">
        <v>24</v>
      </c>
      <c r="P43" s="34" t="s">
        <v>285</v>
      </c>
      <c r="Q43" s="24"/>
      <c r="R43" s="24"/>
      <c r="S43" s="24" t="s">
        <v>283</v>
      </c>
      <c r="T43" s="34" t="s">
        <v>284</v>
      </c>
      <c r="U43" s="24"/>
      <c r="V43" s="24"/>
      <c r="W43" s="34" t="s">
        <v>285</v>
      </c>
      <c r="X43" s="34" t="s">
        <v>285</v>
      </c>
      <c r="Y43" s="24"/>
      <c r="Z43" s="34" t="s">
        <v>284</v>
      </c>
      <c r="AA43" s="24"/>
      <c r="AB43" s="24"/>
      <c r="AC43" s="24" t="s">
        <v>283</v>
      </c>
      <c r="AD43" s="24"/>
      <c r="AE43" s="34" t="s">
        <v>285</v>
      </c>
      <c r="AF43" s="24" t="s">
        <v>283</v>
      </c>
      <c r="AG43" s="24"/>
      <c r="AH43" s="24"/>
      <c r="AI43" s="34" t="s">
        <v>285</v>
      </c>
      <c r="AJ43" s="34" t="s">
        <v>24</v>
      </c>
      <c r="AK43" s="24"/>
      <c r="AL43" s="24"/>
      <c r="AM43" s="24"/>
      <c r="AN43" s="24"/>
      <c r="AO43" s="24"/>
      <c r="AP43" s="24"/>
      <c r="AQ43" s="24"/>
      <c r="AR43" s="24"/>
      <c r="AS43" s="34" t="s">
        <v>24</v>
      </c>
      <c r="AT43" s="24"/>
    </row>
    <row r="44" spans="1:46" x14ac:dyDescent="0.3">
      <c r="A44" s="4" t="s">
        <v>261</v>
      </c>
      <c r="B44" s="4" t="s">
        <v>73</v>
      </c>
      <c r="C44" s="4"/>
      <c r="D44" s="29">
        <f>COUNTIF(M44:AT44,"I")</f>
        <v>5</v>
      </c>
      <c r="E44" s="29">
        <f>COUNTIF(M44:AT44,"AA")</f>
        <v>3</v>
      </c>
      <c r="F44" s="29">
        <f>D44+E44</f>
        <v>8</v>
      </c>
      <c r="G44" s="29">
        <f>COUNTIF(M44:AT44,"S")</f>
        <v>2</v>
      </c>
      <c r="H44" s="29">
        <f>IF(M44="I",180,0)+IF(N44="I",90,0)+IF(O44="I",180,0)+IF(P44="I",180,0)+IF(Q44="I",180,0)+IF(R44="I",90,0)+IF(S44="I",180,0)+IF(T44="I",105,0)+IF(U44="I",180,0)+IF(V44="I",180,0)+IF(W44="I",120,0)+IF(X44="I",120,0)+IF(Y44="I",180,0)+IF(Z44="I",180,0)+IF(AA44="I",120,0)+IF(AB44="I",180,0)+IF(AC44="I",120,0)+IF(AD44="I",150,0)+IF(AE44="I",180,0)+IF(AF44="I",180,0)+IF(AG44="I",120,0)+IF(AH44="I",120,0)+IF(AI44="I",180,0)+IF(AJ44="I",120,0)+IF(AK44="I",180,0)+IF(AL44="I",150,0)+IF(AM44="I",180,0)+IF(AN44="I",60,0)+IF(AO44="I",180,0)+IF(AP44="I",180,0)+IF(AQ44="I",180,0)+IF(AR44="I",195,0)+IF(AS44="I",60,0)+IF(AT44="I",60,0)+IF(M44="AA",225,0)+IF(N44="AA",115,0)+IF(O44="AA",225,0)+IF(P44="AA",225,0)+IF(Q44="AA",225,0)+IF(R44="AA",115,0)+IF(S44="AA",225,0)+IF(T44="AA",135,0)+IF(U44="AA",225,0)+IF(V44="AA",225,0)+IF(W44="AA",150,0)+IF(X44="AA",150,0)+IF(Y44="AA",225,0)+IF(Z44="AA",225,0)+IF(AA44="AA",150,0)+IF(AB44="AA",225,0)+IF(AC44="AA",150,0)+IF(AD44="AA",190,0)+IF(AE44="AA",225,0)+IF(AF44="AA",225,0)+IF(AG44="AA",150,0)+IF(AH44="AA",150,0)+IF(AI44="AA",225,0)+IF(AJ44="AA",150,0)+IF(AK44="AA",225,0)+IF(AL44="AA",190,0)+IF(AM44="AA",225,0)+IF(AN44="AA",75,0)+IF(AO44="AA",225,0)+IF(AP44="AA",225,0)+IF(AQ44="AA",225,0)+IF(AR44="AA",245,0)+IF(AS44="AA",75,0)+IF(AT44="AA",75,0)</f>
        <v>1140</v>
      </c>
      <c r="I44" s="29">
        <f>COUNTIF(M44,"I")+COUNTIF(M44,"AA")+COUNTIF(M44,"S")+COUNTIF(N44,"I")+COUNTIF(N44,"AA")+COUNTIF(N44,"S")+COUNTIF(P44,"I")+COUNTIF(P44,"AA")+COUNTIF(P44,"S")+COUNTIF(R44,"I")+COUNTIF(R44,"AA")+COUNTIF(R44,"S")+COUNTIF(T44,"I")+COUNTIF(T44,"AA")+COUNTIF(T44,"S")+COUNTIF(V44,"I")+COUNTIF(V44,"AA")+COUNTIF(V44,"S")+COUNTIF(Y44,"I")+COUNTIF(Y44,"AA")+COUNTIF(Y44,"S")+COUNTIF(AA44,"I")+COUNTIF(AA44,"AA")+COUNTIF(AA44,"S")+COUNTIF(AC44,"I")+COUNTIF(AC44,"AA")+COUNTIF(AC44,"S")+COUNTIF(AD44,"I")+COUNTIF(AD44,"AA")+COUNTIF(AD44,"S")+COUNTIF(AF44,"I")+COUNTIF(AF44,"AA")+COUNTIF(AF44,"S")+COUNTIF(AH44,"I")+COUNTIF(AH44,"AA")+COUNTIF(AH44,"S")+COUNTIF(AK44,"I")+COUNTIF(AK44,"AA")+COUNTIF(AK44,"S")+COUNTIF(AM44,"I")+COUNTIF(AM44,"AA")+COUNTIF(AM44,"S")+COUNTIF(AP44,"I")+COUNTIF(AP44,"AA")+COUNTIF(AP44,"S")+COUNTIF(AR44,"I")+COUNTIF(AR44,"AA")+COUNTIF(AR44,"S")+COUNTIF(AT44,"I")+COUNTIF(AT44,"AA")+COUNTIF(AT44,"S")</f>
        <v>6</v>
      </c>
      <c r="J44" s="29">
        <f>COUNTIF(O44,"I")+COUNTIF(O44,"AA")+COUNTIF(O44,"S")+COUNTIF(Q44,"I")+COUNTIF(Q44,"AA")+COUNTIF(Q44,"S")+COUNTIF(S44,"I")+COUNTIF(S44,"AA")+COUNTIF(S44,"S")+COUNTIF(U44,"I")+COUNTIF(U44,"AA")+COUNTIF(U44,"S")+COUNTIF(W44,"I")+COUNTIF(W44,"AA")+COUNTIF(W44,"S")+COUNTIF(X44,"I")+COUNTIF(X44,"AA")+COUNTIF(X44,"S")+COUNTIF(Z44,"I")+COUNTIF(Z44,"AA")+COUNTIF(Z44,"S")+COUNTIF(AB44,"I")+COUNTIF(AB44,"AA")+COUNTIF(AB44,"S")+COUNTIF(AE44,"I")+COUNTIF(AE44,"AA")+COUNTIF(AE44,"S")+COUNTIF(AG44,"I")+COUNTIF(AG44,"AA")+COUNTIF(AG44,"S")+COUNTIF(AI44,"I")+COUNTIF(AI44,"AA")+COUNTIF(AI44,"S")+COUNTIF(AJ44,"I")+COUNTIF(AJ44,"AA")+COUNTIF(AJ44,"S")+COUNTIF(AL44,"I")+COUNTIF(AL44,"AA")+COUNTIF(AL44,"S")+COUNTIF(AN44,"I")+COUNTIF(AN44,"AA")+COUNTIF(AN44,"S")+COUNTIF(AO44,"I")+COUNTIF(AO44,"AA")+COUNTIF(AO44,"S")+COUNTIF(AQ44,"I")+COUNTIF(AQ44,"AA")+COUNTIF(AQ44,"S")+COUNTIF(AS44,"I")+COUNTIF(AS44,"AA")+COUNTIF(AS44,"S")</f>
        <v>4</v>
      </c>
      <c r="K44" s="29">
        <f>IF(AND((COUNTIF(N44,"I")+COUNTIF(N44,"AA")+COUNTIF(N44,"S"))&gt;0,(COUNTIF(O44,"I")+COUNTIF(O44,"AA")+COUNTIF(O44,"S"))&gt;0),1,0)+IF(AND((COUNTIF(P44,"I")+COUNTIF(P44,"AA")+COUNTIF(P44,"S"))&gt;0,(COUNTIF(Q44,"I")+COUNTIF(Q44,"AA")+COUNTIF(Q44,"S"))&gt;0),1,0)+IF(AND((COUNTIF(R44,"I")+COUNTIF(R44,"AA")+COUNTIF(R44,"S"))&gt;0,(COUNTIF(S44,"I")+COUNTIF(S44,"AA")+COUNTIF(S44,"S"))&gt;0),1,0)+IF(AND((COUNTIF(T44,"I")+COUNTIF(T44,"AA")+COUNTIF(T44,"S"))&gt;0,(COUNTIF(U44,"I")+COUNTIF(U44,"AA")+COUNTIF(U44,"S"))&gt;0),1,0)+IF(AND((COUNTIF(V44,"I")+COUNTIF(V44,"AA")+COUNTIF(V44,"S"))&gt;0,(COUNTIF(W44,"I")+COUNTIF(W44,"AA")+COUNTIF(W44,"S"))&gt;0),1,0)+IF(AND((COUNTIF(Y44,"I")+COUNTIF(Y44,"AA")+COUNTIF(Y44,"S"))&gt;0,(COUNTIF(Z44,"I")+COUNTIF(Z44,"AA")+COUNTIF(Z44,"S"))&gt;0),1,0)+IF(AND((COUNTIF(AA44,"I")+COUNTIF(AA44,"AA")+COUNTIF(AA44,"S"))&gt;0,(COUNTIF(AB44,"I")+COUNTIF(AB44,"AA")+COUNTIF(AB44,"S"))&gt;0),1,0)+IF(AND((COUNTIF(AD44,"I")+COUNTIF(AD44,"AA")+COUNTIF(AD44,"S"))&gt;0,(COUNTIF(AE44,"I")+COUNTIF(AE44,"AA")+COUNTIF(AE44,"S"))&gt;0),1,0)+IF(AND((COUNTIF(AF44,"I")+COUNTIF(AF44,"AA")+COUNTIF(AF44,"S"))&gt;0,(COUNTIF(AG44,"I")+COUNTIF(AG44,"AA")+COUNTIF(AG44,"S"))&gt;0),1,0)+IF(AND((COUNTIF(AH44,"I")+COUNTIF(AH44,"AA")+COUNTIF(AH44,"S"))&gt;0,(COUNTIF(AI44,"I")+COUNTIF(AI44,"AA")+COUNTIF(AI44,"S"))&gt;0),1,0)+IF(AND((COUNTIF(AK44,"I")+COUNTIF(AK44,"AA")+COUNTIF(AK44,"S"))&gt;0,(COUNTIF(AL44,"I")+COUNTIF(AL44,"AA")+COUNTIF(AL44,"S"))&gt;0),1,0)+IF(AND((COUNTIF(AM44,"I")+COUNTIF(AM44,"AA")+COUNTIF(AM44,"S"))&gt;0,(COUNTIF(AN44,"I")+COUNTIF(AN44,"AA")+COUNTIF(AN44,"S"))&gt;0),1,0)+IF(AND((COUNTIF(AP44,"I")+COUNTIF(AP44,"AA")+COUNTIF(AP44,"S"))&gt;0,(COUNTIF(AQ44,"I")+COUNTIF(AQ44,"AA")+COUNTIF(AQ44,"S"))&gt;0),1,0)+IF(AND((COUNTIF(AR44,"I")+COUNTIF(AR44,"AA")+COUNTIF(AR44,"S"))&gt;0,(COUNTIF(AS44,"I")+COUNTIF(AS44,"AA")+COUNTIF(AS44,"S"))&gt;0),1,0)</f>
        <v>0</v>
      </c>
      <c r="L44" s="22"/>
      <c r="M44" s="34" t="s">
        <v>24</v>
      </c>
      <c r="N44" s="24"/>
      <c r="O44" s="34" t="s">
        <v>285</v>
      </c>
      <c r="P44" s="34" t="s">
        <v>285</v>
      </c>
      <c r="Q44" s="24"/>
      <c r="R44" s="34" t="s">
        <v>285</v>
      </c>
      <c r="S44" s="24"/>
      <c r="T44" s="24"/>
      <c r="U44" s="34" t="s">
        <v>284</v>
      </c>
      <c r="V44" s="24"/>
      <c r="W44" s="24"/>
      <c r="X44" s="34" t="s">
        <v>24</v>
      </c>
      <c r="Y44" s="24"/>
      <c r="Z44" s="24"/>
      <c r="AA44" s="34" t="s">
        <v>285</v>
      </c>
      <c r="AB44" s="24"/>
      <c r="AC44" s="24"/>
      <c r="AD44" s="24"/>
      <c r="AE44" s="24"/>
      <c r="AF44" s="24"/>
      <c r="AG44" s="24"/>
      <c r="AH44" s="34" t="s">
        <v>285</v>
      </c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34" t="s">
        <v>284</v>
      </c>
      <c r="AT44" s="34" t="s">
        <v>24</v>
      </c>
    </row>
    <row r="45" spans="1:46" x14ac:dyDescent="0.3">
      <c r="A45" s="4" t="s">
        <v>262</v>
      </c>
      <c r="B45" s="4" t="s">
        <v>73</v>
      </c>
      <c r="C45" s="4"/>
      <c r="D45" s="29">
        <f>COUNTIF(M45:AT45,"I")</f>
        <v>5</v>
      </c>
      <c r="E45" s="29">
        <f>COUNTIF(M45:AT45,"AA")</f>
        <v>3</v>
      </c>
      <c r="F45" s="29">
        <f>D45+E45</f>
        <v>8</v>
      </c>
      <c r="G45" s="29">
        <f>COUNTIF(M45:AT45,"S")</f>
        <v>2</v>
      </c>
      <c r="H45" s="29">
        <f>IF(M45="I",180,0)+IF(N45="I",90,0)+IF(O45="I",180,0)+IF(P45="I",180,0)+IF(Q45="I",180,0)+IF(R45="I",90,0)+IF(S45="I",180,0)+IF(T45="I",105,0)+IF(U45="I",180,0)+IF(V45="I",180,0)+IF(W45="I",120,0)+IF(X45="I",120,0)+IF(Y45="I",180,0)+IF(Z45="I",180,0)+IF(AA45="I",120,0)+IF(AB45="I",180,0)+IF(AC45="I",120,0)+IF(AD45="I",150,0)+IF(AE45="I",180,0)+IF(AF45="I",180,0)+IF(AG45="I",120,0)+IF(AH45="I",120,0)+IF(AI45="I",180,0)+IF(AJ45="I",120,0)+IF(AK45="I",180,0)+IF(AL45="I",150,0)+IF(AM45="I",180,0)+IF(AN45="I",60,0)+IF(AO45="I",180,0)+IF(AP45="I",180,0)+IF(AQ45="I",180,0)+IF(AR45="I",195,0)+IF(AS45="I",60,0)+IF(AT45="I",60,0)+IF(M45="AA",225,0)+IF(N45="AA",115,0)+IF(O45="AA",225,0)+IF(P45="AA",225,0)+IF(Q45="AA",225,0)+IF(R45="AA",115,0)+IF(S45="AA",225,0)+IF(T45="AA",135,0)+IF(U45="AA",225,0)+IF(V45="AA",225,0)+IF(W45="AA",150,0)+IF(X45="AA",150,0)+IF(Y45="AA",225,0)+IF(Z45="AA",225,0)+IF(AA45="AA",150,0)+IF(AB45="AA",225,0)+IF(AC45="AA",150,0)+IF(AD45="AA",190,0)+IF(AE45="AA",225,0)+IF(AF45="AA",225,0)+IF(AG45="AA",150,0)+IF(AH45="AA",150,0)+IF(AI45="AA",225,0)+IF(AJ45="AA",150,0)+IF(AK45="AA",225,0)+IF(AL45="AA",190,0)+IF(AM45="AA",225,0)+IF(AN45="AA",75,0)+IF(AO45="AA",225,0)+IF(AP45="AA",225,0)+IF(AQ45="AA",225,0)+IF(AR45="AA",245,0)+IF(AS45="AA",75,0)+IF(AT45="AA",75,0)</f>
        <v>1140</v>
      </c>
      <c r="I45" s="29">
        <f>COUNTIF(M45,"I")+COUNTIF(M45,"AA")+COUNTIF(M45,"S")+COUNTIF(N45,"I")+COUNTIF(N45,"AA")+COUNTIF(N45,"S")+COUNTIF(P45,"I")+COUNTIF(P45,"AA")+COUNTIF(P45,"S")+COUNTIF(R45,"I")+COUNTIF(R45,"AA")+COUNTIF(R45,"S")+COUNTIF(T45,"I")+COUNTIF(T45,"AA")+COUNTIF(T45,"S")+COUNTIF(V45,"I")+COUNTIF(V45,"AA")+COUNTIF(V45,"S")+COUNTIF(Y45,"I")+COUNTIF(Y45,"AA")+COUNTIF(Y45,"S")+COUNTIF(AA45,"I")+COUNTIF(AA45,"AA")+COUNTIF(AA45,"S")+COUNTIF(AC45,"I")+COUNTIF(AC45,"AA")+COUNTIF(AC45,"S")+COUNTIF(AD45,"I")+COUNTIF(AD45,"AA")+COUNTIF(AD45,"S")+COUNTIF(AF45,"I")+COUNTIF(AF45,"AA")+COUNTIF(AF45,"S")+COUNTIF(AH45,"I")+COUNTIF(AH45,"AA")+COUNTIF(AH45,"S")+COUNTIF(AK45,"I")+COUNTIF(AK45,"AA")+COUNTIF(AK45,"S")+COUNTIF(AM45,"I")+COUNTIF(AM45,"AA")+COUNTIF(AM45,"S")+COUNTIF(AP45,"I")+COUNTIF(AP45,"AA")+COUNTIF(AP45,"S")+COUNTIF(AR45,"I")+COUNTIF(AR45,"AA")+COUNTIF(AR45,"S")+COUNTIF(AT45,"I")+COUNTIF(AT45,"AA")+COUNTIF(AT45,"S")</f>
        <v>6</v>
      </c>
      <c r="J45" s="29">
        <f>COUNTIF(O45,"I")+COUNTIF(O45,"AA")+COUNTIF(O45,"S")+COUNTIF(Q45,"I")+COUNTIF(Q45,"AA")+COUNTIF(Q45,"S")+COUNTIF(S45,"I")+COUNTIF(S45,"AA")+COUNTIF(S45,"S")+COUNTIF(U45,"I")+COUNTIF(U45,"AA")+COUNTIF(U45,"S")+COUNTIF(W45,"I")+COUNTIF(W45,"AA")+COUNTIF(W45,"S")+COUNTIF(X45,"I")+COUNTIF(X45,"AA")+COUNTIF(X45,"S")+COUNTIF(Z45,"I")+COUNTIF(Z45,"AA")+COUNTIF(Z45,"S")+COUNTIF(AB45,"I")+COUNTIF(AB45,"AA")+COUNTIF(AB45,"S")+COUNTIF(AE45,"I")+COUNTIF(AE45,"AA")+COUNTIF(AE45,"S")+COUNTIF(AG45,"I")+COUNTIF(AG45,"AA")+COUNTIF(AG45,"S")+COUNTIF(AI45,"I")+COUNTIF(AI45,"AA")+COUNTIF(AI45,"S")+COUNTIF(AJ45,"I")+COUNTIF(AJ45,"AA")+COUNTIF(AJ45,"S")+COUNTIF(AL45,"I")+COUNTIF(AL45,"AA")+COUNTIF(AL45,"S")+COUNTIF(AN45,"I")+COUNTIF(AN45,"AA")+COUNTIF(AN45,"S")+COUNTIF(AO45,"I")+COUNTIF(AO45,"AA")+COUNTIF(AO45,"S")+COUNTIF(AQ45,"I")+COUNTIF(AQ45,"AA")+COUNTIF(AQ45,"S")+COUNTIF(AS45,"I")+COUNTIF(AS45,"AA")+COUNTIF(AS45,"S")</f>
        <v>4</v>
      </c>
      <c r="K45" s="29">
        <f>IF(AND((COUNTIF(N45,"I")+COUNTIF(N45,"AA")+COUNTIF(N45,"S"))&gt;0,(COUNTIF(O45,"I")+COUNTIF(O45,"AA")+COUNTIF(O45,"S"))&gt;0),1,0)+IF(AND((COUNTIF(P45,"I")+COUNTIF(P45,"AA")+COUNTIF(P45,"S"))&gt;0,(COUNTIF(Q45,"I")+COUNTIF(Q45,"AA")+COUNTIF(Q45,"S"))&gt;0),1,0)+IF(AND((COUNTIF(R45,"I")+COUNTIF(R45,"AA")+COUNTIF(R45,"S"))&gt;0,(COUNTIF(S45,"I")+COUNTIF(S45,"AA")+COUNTIF(S45,"S"))&gt;0),1,0)+IF(AND((COUNTIF(T45,"I")+COUNTIF(T45,"AA")+COUNTIF(T45,"S"))&gt;0,(COUNTIF(U45,"I")+COUNTIF(U45,"AA")+COUNTIF(U45,"S"))&gt;0),1,0)+IF(AND((COUNTIF(V45,"I")+COUNTIF(V45,"AA")+COUNTIF(V45,"S"))&gt;0,(COUNTIF(W45,"I")+COUNTIF(W45,"AA")+COUNTIF(W45,"S"))&gt;0),1,0)+IF(AND((COUNTIF(Y45,"I")+COUNTIF(Y45,"AA")+COUNTIF(Y45,"S"))&gt;0,(COUNTIF(Z45,"I")+COUNTIF(Z45,"AA")+COUNTIF(Z45,"S"))&gt;0),1,0)+IF(AND((COUNTIF(AA45,"I")+COUNTIF(AA45,"AA")+COUNTIF(AA45,"S"))&gt;0,(COUNTIF(AB45,"I")+COUNTIF(AB45,"AA")+COUNTIF(AB45,"S"))&gt;0),1,0)+IF(AND((COUNTIF(AD45,"I")+COUNTIF(AD45,"AA")+COUNTIF(AD45,"S"))&gt;0,(COUNTIF(AE45,"I")+COUNTIF(AE45,"AA")+COUNTIF(AE45,"S"))&gt;0),1,0)+IF(AND((COUNTIF(AF45,"I")+COUNTIF(AF45,"AA")+COUNTIF(AF45,"S"))&gt;0,(COUNTIF(AG45,"I")+COUNTIF(AG45,"AA")+COUNTIF(AG45,"S"))&gt;0),1,0)+IF(AND((COUNTIF(AH45,"I")+COUNTIF(AH45,"AA")+COUNTIF(AH45,"S"))&gt;0,(COUNTIF(AI45,"I")+COUNTIF(AI45,"AA")+COUNTIF(AI45,"S"))&gt;0),1,0)+IF(AND((COUNTIF(AK45,"I")+COUNTIF(AK45,"AA")+COUNTIF(AK45,"S"))&gt;0,(COUNTIF(AL45,"I")+COUNTIF(AL45,"AA")+COUNTIF(AL45,"S"))&gt;0),1,0)+IF(AND((COUNTIF(AM45,"I")+COUNTIF(AM45,"AA")+COUNTIF(AM45,"S"))&gt;0,(COUNTIF(AN45,"I")+COUNTIF(AN45,"AA")+COUNTIF(AN45,"S"))&gt;0),1,0)+IF(AND((COUNTIF(AP45,"I")+COUNTIF(AP45,"AA")+COUNTIF(AP45,"S"))&gt;0,(COUNTIF(AQ45,"I")+COUNTIF(AQ45,"AA")+COUNTIF(AQ45,"S"))&gt;0),1,0)+IF(AND((COUNTIF(AR45,"I")+COUNTIF(AR45,"AA")+COUNTIF(AR45,"S"))&gt;0,(COUNTIF(AS45,"I")+COUNTIF(AS45,"AA")+COUNTIF(AS45,"S"))&gt;0),1,0)</f>
        <v>1</v>
      </c>
      <c r="L45" s="22"/>
      <c r="M45" s="34" t="s">
        <v>24</v>
      </c>
      <c r="N45" s="34" t="s">
        <v>285</v>
      </c>
      <c r="O45" s="24" t="s">
        <v>283</v>
      </c>
      <c r="P45" s="34" t="s">
        <v>285</v>
      </c>
      <c r="Q45" s="24"/>
      <c r="R45" s="24"/>
      <c r="S45" s="24"/>
      <c r="T45" s="24"/>
      <c r="U45" s="34" t="s">
        <v>284</v>
      </c>
      <c r="V45" s="24" t="s">
        <v>283</v>
      </c>
      <c r="W45" s="24"/>
      <c r="X45" s="34" t="s">
        <v>24</v>
      </c>
      <c r="Y45" s="24"/>
      <c r="Z45" s="24"/>
      <c r="AA45" s="34" t="s">
        <v>285</v>
      </c>
      <c r="AB45" s="24"/>
      <c r="AC45" s="24"/>
      <c r="AD45" s="24"/>
      <c r="AE45" s="24"/>
      <c r="AF45" s="24"/>
      <c r="AG45" s="24"/>
      <c r="AH45" s="34" t="s">
        <v>285</v>
      </c>
      <c r="AI45" s="34" t="s">
        <v>285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34" t="s">
        <v>284</v>
      </c>
      <c r="AT45" s="34" t="s">
        <v>24</v>
      </c>
    </row>
    <row r="46" spans="1:46" x14ac:dyDescent="0.3">
      <c r="A46" s="4" t="s">
        <v>263</v>
      </c>
      <c r="B46" s="4" t="s">
        <v>73</v>
      </c>
      <c r="C46" s="4"/>
      <c r="D46" s="29">
        <f>COUNTIF(M46:AT46,"I")</f>
        <v>5</v>
      </c>
      <c r="E46" s="29">
        <f>COUNTIF(M46:AT46,"AA")</f>
        <v>3</v>
      </c>
      <c r="F46" s="29">
        <f>D46+E46</f>
        <v>8</v>
      </c>
      <c r="G46" s="29">
        <f>COUNTIF(M46:AT46,"S")</f>
        <v>2</v>
      </c>
      <c r="H46" s="29">
        <f>IF(M46="I",180,0)+IF(N46="I",90,0)+IF(O46="I",180,0)+IF(P46="I",180,0)+IF(Q46="I",180,0)+IF(R46="I",90,0)+IF(S46="I",180,0)+IF(T46="I",105,0)+IF(U46="I",180,0)+IF(V46="I",180,0)+IF(W46="I",120,0)+IF(X46="I",120,0)+IF(Y46="I",180,0)+IF(Z46="I",180,0)+IF(AA46="I",120,0)+IF(AB46="I",180,0)+IF(AC46="I",120,0)+IF(AD46="I",150,0)+IF(AE46="I",180,0)+IF(AF46="I",180,0)+IF(AG46="I",120,0)+IF(AH46="I",120,0)+IF(AI46="I",180,0)+IF(AJ46="I",120,0)+IF(AK46="I",180,0)+IF(AL46="I",150,0)+IF(AM46="I",180,0)+IF(AN46="I",60,0)+IF(AO46="I",180,0)+IF(AP46="I",180,0)+IF(AQ46="I",180,0)+IF(AR46="I",195,0)+IF(AS46="I",60,0)+IF(AT46="I",60,0)+IF(M46="AA",225,0)+IF(N46="AA",115,0)+IF(O46="AA",225,0)+IF(P46="AA",225,0)+IF(Q46="AA",225,0)+IF(R46="AA",115,0)+IF(S46="AA",225,0)+IF(T46="AA",135,0)+IF(U46="AA",225,0)+IF(V46="AA",225,0)+IF(W46="AA",150,0)+IF(X46="AA",150,0)+IF(Y46="AA",225,0)+IF(Z46="AA",225,0)+IF(AA46="AA",150,0)+IF(AB46="AA",225,0)+IF(AC46="AA",150,0)+IF(AD46="AA",190,0)+IF(AE46="AA",225,0)+IF(AF46="AA",225,0)+IF(AG46="AA",150,0)+IF(AH46="AA",150,0)+IF(AI46="AA",225,0)+IF(AJ46="AA",150,0)+IF(AK46="AA",225,0)+IF(AL46="AA",190,0)+IF(AM46="AA",225,0)+IF(AN46="AA",75,0)+IF(AO46="AA",225,0)+IF(AP46="AA",225,0)+IF(AQ46="AA",225,0)+IF(AR46="AA",245,0)+IF(AS46="AA",75,0)+IF(AT46="AA",75,0)</f>
        <v>1140</v>
      </c>
      <c r="I46" s="29">
        <f>COUNTIF(M46,"I")+COUNTIF(M46,"AA")+COUNTIF(M46,"S")+COUNTIF(N46,"I")+COUNTIF(N46,"AA")+COUNTIF(N46,"S")+COUNTIF(P46,"I")+COUNTIF(P46,"AA")+COUNTIF(P46,"S")+COUNTIF(R46,"I")+COUNTIF(R46,"AA")+COUNTIF(R46,"S")+COUNTIF(T46,"I")+COUNTIF(T46,"AA")+COUNTIF(T46,"S")+COUNTIF(V46,"I")+COUNTIF(V46,"AA")+COUNTIF(V46,"S")+COUNTIF(Y46,"I")+COUNTIF(Y46,"AA")+COUNTIF(Y46,"S")+COUNTIF(AA46,"I")+COUNTIF(AA46,"AA")+COUNTIF(AA46,"S")+COUNTIF(AC46,"I")+COUNTIF(AC46,"AA")+COUNTIF(AC46,"S")+COUNTIF(AD46,"I")+COUNTIF(AD46,"AA")+COUNTIF(AD46,"S")+COUNTIF(AF46,"I")+COUNTIF(AF46,"AA")+COUNTIF(AF46,"S")+COUNTIF(AH46,"I")+COUNTIF(AH46,"AA")+COUNTIF(AH46,"S")+COUNTIF(AK46,"I")+COUNTIF(AK46,"AA")+COUNTIF(AK46,"S")+COUNTIF(AM46,"I")+COUNTIF(AM46,"AA")+COUNTIF(AM46,"S")+COUNTIF(AP46,"I")+COUNTIF(AP46,"AA")+COUNTIF(AP46,"S")+COUNTIF(AR46,"I")+COUNTIF(AR46,"AA")+COUNTIF(AR46,"S")+COUNTIF(AT46,"I")+COUNTIF(AT46,"AA")+COUNTIF(AT46,"S")</f>
        <v>6</v>
      </c>
      <c r="J46" s="29">
        <f>COUNTIF(O46,"I")+COUNTIF(O46,"AA")+COUNTIF(O46,"S")+COUNTIF(Q46,"I")+COUNTIF(Q46,"AA")+COUNTIF(Q46,"S")+COUNTIF(S46,"I")+COUNTIF(S46,"AA")+COUNTIF(S46,"S")+COUNTIF(U46,"I")+COUNTIF(U46,"AA")+COUNTIF(U46,"S")+COUNTIF(W46,"I")+COUNTIF(W46,"AA")+COUNTIF(W46,"S")+COUNTIF(X46,"I")+COUNTIF(X46,"AA")+COUNTIF(X46,"S")+COUNTIF(Z46,"I")+COUNTIF(Z46,"AA")+COUNTIF(Z46,"S")+COUNTIF(AB46,"I")+COUNTIF(AB46,"AA")+COUNTIF(AB46,"S")+COUNTIF(AE46,"I")+COUNTIF(AE46,"AA")+COUNTIF(AE46,"S")+COUNTIF(AG46,"I")+COUNTIF(AG46,"AA")+COUNTIF(AG46,"S")+COUNTIF(AI46,"I")+COUNTIF(AI46,"AA")+COUNTIF(AI46,"S")+COUNTIF(AJ46,"I")+COUNTIF(AJ46,"AA")+COUNTIF(AJ46,"S")+COUNTIF(AL46,"I")+COUNTIF(AL46,"AA")+COUNTIF(AL46,"S")+COUNTIF(AN46,"I")+COUNTIF(AN46,"AA")+COUNTIF(AN46,"S")+COUNTIF(AO46,"I")+COUNTIF(AO46,"AA")+COUNTIF(AO46,"S")+COUNTIF(AQ46,"I")+COUNTIF(AQ46,"AA")+COUNTIF(AQ46,"S")+COUNTIF(AS46,"I")+COUNTIF(AS46,"AA")+COUNTIF(AS46,"S")</f>
        <v>4</v>
      </c>
      <c r="K46" s="29">
        <f>IF(AND((COUNTIF(N46,"I")+COUNTIF(N46,"AA")+COUNTIF(N46,"S"))&gt;0,(COUNTIF(O46,"I")+COUNTIF(O46,"AA")+COUNTIF(O46,"S"))&gt;0),1,0)+IF(AND((COUNTIF(P46,"I")+COUNTIF(P46,"AA")+COUNTIF(P46,"S"))&gt;0,(COUNTIF(Q46,"I")+COUNTIF(Q46,"AA")+COUNTIF(Q46,"S"))&gt;0),1,0)+IF(AND((COUNTIF(R46,"I")+COUNTIF(R46,"AA")+COUNTIF(R46,"S"))&gt;0,(COUNTIF(S46,"I")+COUNTIF(S46,"AA")+COUNTIF(S46,"S"))&gt;0),1,0)+IF(AND((COUNTIF(T46,"I")+COUNTIF(T46,"AA")+COUNTIF(T46,"S"))&gt;0,(COUNTIF(U46,"I")+COUNTIF(U46,"AA")+COUNTIF(U46,"S"))&gt;0),1,0)+IF(AND((COUNTIF(V46,"I")+COUNTIF(V46,"AA")+COUNTIF(V46,"S"))&gt;0,(COUNTIF(W46,"I")+COUNTIF(W46,"AA")+COUNTIF(W46,"S"))&gt;0),1,0)+IF(AND((COUNTIF(Y46,"I")+COUNTIF(Y46,"AA")+COUNTIF(Y46,"S"))&gt;0,(COUNTIF(Z46,"I")+COUNTIF(Z46,"AA")+COUNTIF(Z46,"S"))&gt;0),1,0)+IF(AND((COUNTIF(AA46,"I")+COUNTIF(AA46,"AA")+COUNTIF(AA46,"S"))&gt;0,(COUNTIF(AB46,"I")+COUNTIF(AB46,"AA")+COUNTIF(AB46,"S"))&gt;0),1,0)+IF(AND((COUNTIF(AD46,"I")+COUNTIF(AD46,"AA")+COUNTIF(AD46,"S"))&gt;0,(COUNTIF(AE46,"I")+COUNTIF(AE46,"AA")+COUNTIF(AE46,"S"))&gt;0),1,0)+IF(AND((COUNTIF(AF46,"I")+COUNTIF(AF46,"AA")+COUNTIF(AF46,"S"))&gt;0,(COUNTIF(AG46,"I")+COUNTIF(AG46,"AA")+COUNTIF(AG46,"S"))&gt;0),1,0)+IF(AND((COUNTIF(AH46,"I")+COUNTIF(AH46,"AA")+COUNTIF(AH46,"S"))&gt;0,(COUNTIF(AI46,"I")+COUNTIF(AI46,"AA")+COUNTIF(AI46,"S"))&gt;0),1,0)+IF(AND((COUNTIF(AK46,"I")+COUNTIF(AK46,"AA")+COUNTIF(AK46,"S"))&gt;0,(COUNTIF(AL46,"I")+COUNTIF(AL46,"AA")+COUNTIF(AL46,"S"))&gt;0),1,0)+IF(AND((COUNTIF(AM46,"I")+COUNTIF(AM46,"AA")+COUNTIF(AM46,"S"))&gt;0,(COUNTIF(AN46,"I")+COUNTIF(AN46,"AA")+COUNTIF(AN46,"S"))&gt;0),1,0)+IF(AND((COUNTIF(AP46,"I")+COUNTIF(AP46,"AA")+COUNTIF(AP46,"S"))&gt;0,(COUNTIF(AQ46,"I")+COUNTIF(AQ46,"AA")+COUNTIF(AQ46,"S"))&gt;0),1,0)+IF(AND((COUNTIF(AR46,"I")+COUNTIF(AR46,"AA")+COUNTIF(AR46,"S"))&gt;0,(COUNTIF(AS46,"I")+COUNTIF(AS46,"AA")+COUNTIF(AS46,"S"))&gt;0),1,0)</f>
        <v>0</v>
      </c>
      <c r="L46" s="22"/>
      <c r="M46" s="34" t="s">
        <v>24</v>
      </c>
      <c r="N46" s="24"/>
      <c r="O46" s="34" t="s">
        <v>285</v>
      </c>
      <c r="P46" s="34" t="s">
        <v>285</v>
      </c>
      <c r="Q46" s="24"/>
      <c r="R46" s="34" t="s">
        <v>285</v>
      </c>
      <c r="S46" s="24"/>
      <c r="T46" s="24"/>
      <c r="U46" s="24"/>
      <c r="V46" s="24"/>
      <c r="W46" s="34" t="s">
        <v>284</v>
      </c>
      <c r="X46" s="34" t="s">
        <v>24</v>
      </c>
      <c r="Y46" s="24" t="s">
        <v>283</v>
      </c>
      <c r="Z46" s="24"/>
      <c r="AA46" s="34" t="s">
        <v>285</v>
      </c>
      <c r="AB46" s="24"/>
      <c r="AC46" s="24"/>
      <c r="AD46" s="24"/>
      <c r="AE46" s="24"/>
      <c r="AF46" s="24"/>
      <c r="AG46" s="24"/>
      <c r="AH46" s="34" t="s">
        <v>285</v>
      </c>
      <c r="AI46" s="24"/>
      <c r="AJ46" s="24"/>
      <c r="AK46" s="24"/>
      <c r="AL46" s="24"/>
      <c r="AM46" s="24"/>
      <c r="AN46" s="24" t="s">
        <v>283</v>
      </c>
      <c r="AO46" s="24"/>
      <c r="AP46" s="24"/>
      <c r="AQ46" s="24"/>
      <c r="AR46" s="24"/>
      <c r="AS46" s="34" t="s">
        <v>284</v>
      </c>
      <c r="AT46" s="34" t="s">
        <v>24</v>
      </c>
    </row>
    <row r="47" spans="1:46" x14ac:dyDescent="0.3">
      <c r="A47" s="4" t="s">
        <v>264</v>
      </c>
      <c r="B47" s="4" t="s">
        <v>113</v>
      </c>
      <c r="C47" s="4"/>
      <c r="D47" s="29">
        <f>COUNTIF(M47:AT47,"I")</f>
        <v>5</v>
      </c>
      <c r="E47" s="29">
        <f>COUNTIF(M47:AT47,"AA")</f>
        <v>3</v>
      </c>
      <c r="F47" s="29">
        <f>D47+E47</f>
        <v>8</v>
      </c>
      <c r="G47" s="29">
        <f>COUNTIF(M47:AT47,"S")</f>
        <v>2</v>
      </c>
      <c r="H47" s="29">
        <f>IF(M47="I",180,0)+IF(N47="I",90,0)+IF(O47="I",180,0)+IF(P47="I",180,0)+IF(Q47="I",180,0)+IF(R47="I",90,0)+IF(S47="I",180,0)+IF(T47="I",105,0)+IF(U47="I",180,0)+IF(V47="I",180,0)+IF(W47="I",120,0)+IF(X47="I",120,0)+IF(Y47="I",180,0)+IF(Z47="I",180,0)+IF(AA47="I",120,0)+IF(AB47="I",180,0)+IF(AC47="I",120,0)+IF(AD47="I",150,0)+IF(AE47="I",180,0)+IF(AF47="I",180,0)+IF(AG47="I",120,0)+IF(AH47="I",120,0)+IF(AI47="I",180,0)+IF(AJ47="I",120,0)+IF(AK47="I",180,0)+IF(AL47="I",150,0)+IF(AM47="I",180,0)+IF(AN47="I",60,0)+IF(AO47="I",180,0)+IF(AP47="I",180,0)+IF(AQ47="I",180,0)+IF(AR47="I",195,0)+IF(AS47="I",60,0)+IF(AT47="I",60,0)+IF(M47="AA",225,0)+IF(N47="AA",115,0)+IF(O47="AA",225,0)+IF(P47="AA",225,0)+IF(Q47="AA",225,0)+IF(R47="AA",115,0)+IF(S47="AA",225,0)+IF(T47="AA",135,0)+IF(U47="AA",225,0)+IF(V47="AA",225,0)+IF(W47="AA",150,0)+IF(X47="AA",150,0)+IF(Y47="AA",225,0)+IF(Z47="AA",225,0)+IF(AA47="AA",150,0)+IF(AB47="AA",225,0)+IF(AC47="AA",150,0)+IF(AD47="AA",190,0)+IF(AE47="AA",225,0)+IF(AF47="AA",225,0)+IF(AG47="AA",150,0)+IF(AH47="AA",150,0)+IF(AI47="AA",225,0)+IF(AJ47="AA",150,0)+IF(AK47="AA",225,0)+IF(AL47="AA",190,0)+IF(AM47="AA",225,0)+IF(AN47="AA",75,0)+IF(AO47="AA",225,0)+IF(AP47="AA",225,0)+IF(AQ47="AA",225,0)+IF(AR47="AA",245,0)+IF(AS47="AA",75,0)+IF(AT47="AA",75,0)</f>
        <v>1125</v>
      </c>
      <c r="I47" s="29">
        <f>COUNTIF(M47,"I")+COUNTIF(M47,"AA")+COUNTIF(M47,"S")+COUNTIF(N47,"I")+COUNTIF(N47,"AA")+COUNTIF(N47,"S")+COUNTIF(P47,"I")+COUNTIF(P47,"AA")+COUNTIF(P47,"S")+COUNTIF(R47,"I")+COUNTIF(R47,"AA")+COUNTIF(R47,"S")+COUNTIF(T47,"I")+COUNTIF(T47,"AA")+COUNTIF(T47,"S")+COUNTIF(V47,"I")+COUNTIF(V47,"AA")+COUNTIF(V47,"S")+COUNTIF(Y47,"I")+COUNTIF(Y47,"AA")+COUNTIF(Y47,"S")+COUNTIF(AA47,"I")+COUNTIF(AA47,"AA")+COUNTIF(AA47,"S")+COUNTIF(AC47,"I")+COUNTIF(AC47,"AA")+COUNTIF(AC47,"S")+COUNTIF(AD47,"I")+COUNTIF(AD47,"AA")+COUNTIF(AD47,"S")+COUNTIF(AF47,"I")+COUNTIF(AF47,"AA")+COUNTIF(AF47,"S")+COUNTIF(AH47,"I")+COUNTIF(AH47,"AA")+COUNTIF(AH47,"S")+COUNTIF(AK47,"I")+COUNTIF(AK47,"AA")+COUNTIF(AK47,"S")+COUNTIF(AM47,"I")+COUNTIF(AM47,"AA")+COUNTIF(AM47,"S")+COUNTIF(AP47,"I")+COUNTIF(AP47,"AA")+COUNTIF(AP47,"S")+COUNTIF(AR47,"I")+COUNTIF(AR47,"AA")+COUNTIF(AR47,"S")+COUNTIF(AT47,"I")+COUNTIF(AT47,"AA")+COUNTIF(AT47,"S")</f>
        <v>6</v>
      </c>
      <c r="J47" s="29">
        <f>COUNTIF(O47,"I")+COUNTIF(O47,"AA")+COUNTIF(O47,"S")+COUNTIF(Q47,"I")+COUNTIF(Q47,"AA")+COUNTIF(Q47,"S")+COUNTIF(S47,"I")+COUNTIF(S47,"AA")+COUNTIF(S47,"S")+COUNTIF(U47,"I")+COUNTIF(U47,"AA")+COUNTIF(U47,"S")+COUNTIF(W47,"I")+COUNTIF(W47,"AA")+COUNTIF(W47,"S")+COUNTIF(X47,"I")+COUNTIF(X47,"AA")+COUNTIF(X47,"S")+COUNTIF(Z47,"I")+COUNTIF(Z47,"AA")+COUNTIF(Z47,"S")+COUNTIF(AB47,"I")+COUNTIF(AB47,"AA")+COUNTIF(AB47,"S")+COUNTIF(AE47,"I")+COUNTIF(AE47,"AA")+COUNTIF(AE47,"S")+COUNTIF(AG47,"I")+COUNTIF(AG47,"AA")+COUNTIF(AG47,"S")+COUNTIF(AI47,"I")+COUNTIF(AI47,"AA")+COUNTIF(AI47,"S")+COUNTIF(AJ47,"I")+COUNTIF(AJ47,"AA")+COUNTIF(AJ47,"S")+COUNTIF(AL47,"I")+COUNTIF(AL47,"AA")+COUNTIF(AL47,"S")+COUNTIF(AN47,"I")+COUNTIF(AN47,"AA")+COUNTIF(AN47,"S")+COUNTIF(AO47,"I")+COUNTIF(AO47,"AA")+COUNTIF(AO47,"S")+COUNTIF(AQ47,"I")+COUNTIF(AQ47,"AA")+COUNTIF(AQ47,"S")+COUNTIF(AS47,"I")+COUNTIF(AS47,"AA")+COUNTIF(AS47,"S")</f>
        <v>4</v>
      </c>
      <c r="K47" s="29">
        <f>IF(AND((COUNTIF(N47,"I")+COUNTIF(N47,"AA")+COUNTIF(N47,"S"))&gt;0,(COUNTIF(O47,"I")+COUNTIF(O47,"AA")+COUNTIF(O47,"S"))&gt;0),1,0)+IF(AND((COUNTIF(P47,"I")+COUNTIF(P47,"AA")+COUNTIF(P47,"S"))&gt;0,(COUNTIF(Q47,"I")+COUNTIF(Q47,"AA")+COUNTIF(Q47,"S"))&gt;0),1,0)+IF(AND((COUNTIF(R47,"I")+COUNTIF(R47,"AA")+COUNTIF(R47,"S"))&gt;0,(COUNTIF(S47,"I")+COUNTIF(S47,"AA")+COUNTIF(S47,"S"))&gt;0),1,0)+IF(AND((COUNTIF(T47,"I")+COUNTIF(T47,"AA")+COUNTIF(T47,"S"))&gt;0,(COUNTIF(U47,"I")+COUNTIF(U47,"AA")+COUNTIF(U47,"S"))&gt;0),1,0)+IF(AND((COUNTIF(V47,"I")+COUNTIF(V47,"AA")+COUNTIF(V47,"S"))&gt;0,(COUNTIF(W47,"I")+COUNTIF(W47,"AA")+COUNTIF(W47,"S"))&gt;0),1,0)+IF(AND((COUNTIF(Y47,"I")+COUNTIF(Y47,"AA")+COUNTIF(Y47,"S"))&gt;0,(COUNTIF(Z47,"I")+COUNTIF(Z47,"AA")+COUNTIF(Z47,"S"))&gt;0),1,0)+IF(AND((COUNTIF(AA47,"I")+COUNTIF(AA47,"AA")+COUNTIF(AA47,"S"))&gt;0,(COUNTIF(AB47,"I")+COUNTIF(AB47,"AA")+COUNTIF(AB47,"S"))&gt;0),1,0)+IF(AND((COUNTIF(AD47,"I")+COUNTIF(AD47,"AA")+COUNTIF(AD47,"S"))&gt;0,(COUNTIF(AE47,"I")+COUNTIF(AE47,"AA")+COUNTIF(AE47,"S"))&gt;0),1,0)+IF(AND((COUNTIF(AF47,"I")+COUNTIF(AF47,"AA")+COUNTIF(AF47,"S"))&gt;0,(COUNTIF(AG47,"I")+COUNTIF(AG47,"AA")+COUNTIF(AG47,"S"))&gt;0),1,0)+IF(AND((COUNTIF(AH47,"I")+COUNTIF(AH47,"AA")+COUNTIF(AH47,"S"))&gt;0,(COUNTIF(AI47,"I")+COUNTIF(AI47,"AA")+COUNTIF(AI47,"S"))&gt;0),1,0)+IF(AND((COUNTIF(AK47,"I")+COUNTIF(AK47,"AA")+COUNTIF(AK47,"S"))&gt;0,(COUNTIF(AL47,"I")+COUNTIF(AL47,"AA")+COUNTIF(AL47,"S"))&gt;0),1,0)+IF(AND((COUNTIF(AM47,"I")+COUNTIF(AM47,"AA")+COUNTIF(AM47,"S"))&gt;0,(COUNTIF(AN47,"I")+COUNTIF(AN47,"AA")+COUNTIF(AN47,"S"))&gt;0),1,0)+IF(AND((COUNTIF(AP47,"I")+COUNTIF(AP47,"AA")+COUNTIF(AP47,"S"))&gt;0,(COUNTIF(AQ47,"I")+COUNTIF(AQ47,"AA")+COUNTIF(AQ47,"S"))&gt;0),1,0)+IF(AND((COUNTIF(AR47,"I")+COUNTIF(AR47,"AA")+COUNTIF(AR47,"S"))&gt;0,(COUNTIF(AS47,"I")+COUNTIF(AS47,"AA")+COUNTIF(AS47,"S"))&gt;0),1,0)</f>
        <v>0</v>
      </c>
      <c r="L47" s="22"/>
      <c r="M47" s="34" t="s">
        <v>284</v>
      </c>
      <c r="N47" s="34" t="s">
        <v>285</v>
      </c>
      <c r="O47" s="24" t="s">
        <v>283</v>
      </c>
      <c r="P47" s="24"/>
      <c r="Q47" s="34" t="s">
        <v>24</v>
      </c>
      <c r="R47" s="24"/>
      <c r="S47" s="24" t="s">
        <v>283</v>
      </c>
      <c r="T47" s="34" t="s">
        <v>285</v>
      </c>
      <c r="U47" s="24" t="s">
        <v>283</v>
      </c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34" t="s">
        <v>24</v>
      </c>
      <c r="AG47" s="24"/>
      <c r="AH47" s="34" t="s">
        <v>24</v>
      </c>
      <c r="AI47" s="24"/>
      <c r="AJ47" s="34" t="s">
        <v>285</v>
      </c>
      <c r="AK47" s="24" t="s">
        <v>283</v>
      </c>
      <c r="AL47" s="34" t="s">
        <v>285</v>
      </c>
      <c r="AM47" s="24"/>
      <c r="AN47" s="24"/>
      <c r="AO47" s="24"/>
      <c r="AP47" s="24"/>
      <c r="AQ47" s="24"/>
      <c r="AR47" s="24"/>
      <c r="AS47" s="34" t="s">
        <v>285</v>
      </c>
      <c r="AT47" s="34" t="s">
        <v>284</v>
      </c>
    </row>
    <row r="48" spans="1:46" x14ac:dyDescent="0.3">
      <c r="A48" s="4" t="s">
        <v>265</v>
      </c>
      <c r="B48" s="4" t="s">
        <v>113</v>
      </c>
      <c r="C48" s="4"/>
      <c r="D48" s="29">
        <f>COUNTIF(M48:AT48,"I")</f>
        <v>6</v>
      </c>
      <c r="E48" s="29">
        <f>COUNTIF(M48:AT48,"AA")</f>
        <v>3</v>
      </c>
      <c r="F48" s="29">
        <f>D48+E48</f>
        <v>9</v>
      </c>
      <c r="G48" s="29">
        <f>COUNTIF(M48:AT48,"S")</f>
        <v>2</v>
      </c>
      <c r="H48" s="29">
        <f>IF(M48="I",180,0)+IF(N48="I",90,0)+IF(O48="I",180,0)+IF(P48="I",180,0)+IF(Q48="I",180,0)+IF(R48="I",90,0)+IF(S48="I",180,0)+IF(T48="I",105,0)+IF(U48="I",180,0)+IF(V48="I",180,0)+IF(W48="I",120,0)+IF(X48="I",120,0)+IF(Y48="I",180,0)+IF(Z48="I",180,0)+IF(AA48="I",120,0)+IF(AB48="I",180,0)+IF(AC48="I",120,0)+IF(AD48="I",150,0)+IF(AE48="I",180,0)+IF(AF48="I",180,0)+IF(AG48="I",120,0)+IF(AH48="I",120,0)+IF(AI48="I",180,0)+IF(AJ48="I",120,0)+IF(AK48="I",180,0)+IF(AL48="I",150,0)+IF(AM48="I",180,0)+IF(AN48="I",60,0)+IF(AO48="I",180,0)+IF(AP48="I",180,0)+IF(AQ48="I",180,0)+IF(AR48="I",195,0)+IF(AS48="I",60,0)+IF(AT48="I",60,0)+IF(M48="AA",225,0)+IF(N48="AA",115,0)+IF(O48="AA",225,0)+IF(P48="AA",225,0)+IF(Q48="AA",225,0)+IF(R48="AA",115,0)+IF(S48="AA",225,0)+IF(T48="AA",135,0)+IF(U48="AA",225,0)+IF(V48="AA",225,0)+IF(W48="AA",150,0)+IF(X48="AA",150,0)+IF(Y48="AA",225,0)+IF(Z48="AA",225,0)+IF(AA48="AA",150,0)+IF(AB48="AA",225,0)+IF(AC48="AA",150,0)+IF(AD48="AA",190,0)+IF(AE48="AA",225,0)+IF(AF48="AA",225,0)+IF(AG48="AA",150,0)+IF(AH48="AA",150,0)+IF(AI48="AA",225,0)+IF(AJ48="AA",150,0)+IF(AK48="AA",225,0)+IF(AL48="AA",190,0)+IF(AM48="AA",225,0)+IF(AN48="AA",75,0)+IF(AO48="AA",225,0)+IF(AP48="AA",225,0)+IF(AQ48="AA",225,0)+IF(AR48="AA",245,0)+IF(AS48="AA",75,0)+IF(AT48="AA",75,0)</f>
        <v>1320</v>
      </c>
      <c r="I48" s="29">
        <f>COUNTIF(M48,"I")+COUNTIF(M48,"AA")+COUNTIF(M48,"S")+COUNTIF(N48,"I")+COUNTIF(N48,"AA")+COUNTIF(N48,"S")+COUNTIF(P48,"I")+COUNTIF(P48,"AA")+COUNTIF(P48,"S")+COUNTIF(R48,"I")+COUNTIF(R48,"AA")+COUNTIF(R48,"S")+COUNTIF(T48,"I")+COUNTIF(T48,"AA")+COUNTIF(T48,"S")+COUNTIF(V48,"I")+COUNTIF(V48,"AA")+COUNTIF(V48,"S")+COUNTIF(Y48,"I")+COUNTIF(Y48,"AA")+COUNTIF(Y48,"S")+COUNTIF(AA48,"I")+COUNTIF(AA48,"AA")+COUNTIF(AA48,"S")+COUNTIF(AC48,"I")+COUNTIF(AC48,"AA")+COUNTIF(AC48,"S")+COUNTIF(AD48,"I")+COUNTIF(AD48,"AA")+COUNTIF(AD48,"S")+COUNTIF(AF48,"I")+COUNTIF(AF48,"AA")+COUNTIF(AF48,"S")+COUNTIF(AH48,"I")+COUNTIF(AH48,"AA")+COUNTIF(AH48,"S")+COUNTIF(AK48,"I")+COUNTIF(AK48,"AA")+COUNTIF(AK48,"S")+COUNTIF(AM48,"I")+COUNTIF(AM48,"AA")+COUNTIF(AM48,"S")+COUNTIF(AP48,"I")+COUNTIF(AP48,"AA")+COUNTIF(AP48,"S")+COUNTIF(AR48,"I")+COUNTIF(AR48,"AA")+COUNTIF(AR48,"S")+COUNTIF(AT48,"I")+COUNTIF(AT48,"AA")+COUNTIF(AT48,"S")</f>
        <v>4</v>
      </c>
      <c r="J48" s="29">
        <f>COUNTIF(O48,"I")+COUNTIF(O48,"AA")+COUNTIF(O48,"S")+COUNTIF(Q48,"I")+COUNTIF(Q48,"AA")+COUNTIF(Q48,"S")+COUNTIF(S48,"I")+COUNTIF(S48,"AA")+COUNTIF(S48,"S")+COUNTIF(U48,"I")+COUNTIF(U48,"AA")+COUNTIF(U48,"S")+COUNTIF(W48,"I")+COUNTIF(W48,"AA")+COUNTIF(W48,"S")+COUNTIF(X48,"I")+COUNTIF(X48,"AA")+COUNTIF(X48,"S")+COUNTIF(Z48,"I")+COUNTIF(Z48,"AA")+COUNTIF(Z48,"S")+COUNTIF(AB48,"I")+COUNTIF(AB48,"AA")+COUNTIF(AB48,"S")+COUNTIF(AE48,"I")+COUNTIF(AE48,"AA")+COUNTIF(AE48,"S")+COUNTIF(AG48,"I")+COUNTIF(AG48,"AA")+COUNTIF(AG48,"S")+COUNTIF(AI48,"I")+COUNTIF(AI48,"AA")+COUNTIF(AI48,"S")+COUNTIF(AJ48,"I")+COUNTIF(AJ48,"AA")+COUNTIF(AJ48,"S")+COUNTIF(AL48,"I")+COUNTIF(AL48,"AA")+COUNTIF(AL48,"S")+COUNTIF(AN48,"I")+COUNTIF(AN48,"AA")+COUNTIF(AN48,"S")+COUNTIF(AO48,"I")+COUNTIF(AO48,"AA")+COUNTIF(AO48,"S")+COUNTIF(AQ48,"I")+COUNTIF(AQ48,"AA")+COUNTIF(AQ48,"S")+COUNTIF(AS48,"I")+COUNTIF(AS48,"AA")+COUNTIF(AS48,"S")</f>
        <v>7</v>
      </c>
      <c r="K48" s="29">
        <f>IF(AND((COUNTIF(N48,"I")+COUNTIF(N48,"AA")+COUNTIF(N48,"S"))&gt;0,(COUNTIF(O48,"I")+COUNTIF(O48,"AA")+COUNTIF(O48,"S"))&gt;0),1,0)+IF(AND((COUNTIF(P48,"I")+COUNTIF(P48,"AA")+COUNTIF(P48,"S"))&gt;0,(COUNTIF(Q48,"I")+COUNTIF(Q48,"AA")+COUNTIF(Q48,"S"))&gt;0),1,0)+IF(AND((COUNTIF(R48,"I")+COUNTIF(R48,"AA")+COUNTIF(R48,"S"))&gt;0,(COUNTIF(S48,"I")+COUNTIF(S48,"AA")+COUNTIF(S48,"S"))&gt;0),1,0)+IF(AND((COUNTIF(T48,"I")+COUNTIF(T48,"AA")+COUNTIF(T48,"S"))&gt;0,(COUNTIF(U48,"I")+COUNTIF(U48,"AA")+COUNTIF(U48,"S"))&gt;0),1,0)+IF(AND((COUNTIF(V48,"I")+COUNTIF(V48,"AA")+COUNTIF(V48,"S"))&gt;0,(COUNTIF(W48,"I")+COUNTIF(W48,"AA")+COUNTIF(W48,"S"))&gt;0),1,0)+IF(AND((COUNTIF(Y48,"I")+COUNTIF(Y48,"AA")+COUNTIF(Y48,"S"))&gt;0,(COUNTIF(Z48,"I")+COUNTIF(Z48,"AA")+COUNTIF(Z48,"S"))&gt;0),1,0)+IF(AND((COUNTIF(AA48,"I")+COUNTIF(AA48,"AA")+COUNTIF(AA48,"S"))&gt;0,(COUNTIF(AB48,"I")+COUNTIF(AB48,"AA")+COUNTIF(AB48,"S"))&gt;0),1,0)+IF(AND((COUNTIF(AD48,"I")+COUNTIF(AD48,"AA")+COUNTIF(AD48,"S"))&gt;0,(COUNTIF(AE48,"I")+COUNTIF(AE48,"AA")+COUNTIF(AE48,"S"))&gt;0),1,0)+IF(AND((COUNTIF(AF48,"I")+COUNTIF(AF48,"AA")+COUNTIF(AF48,"S"))&gt;0,(COUNTIF(AG48,"I")+COUNTIF(AG48,"AA")+COUNTIF(AG48,"S"))&gt;0),1,0)+IF(AND((COUNTIF(AH48,"I")+COUNTIF(AH48,"AA")+COUNTIF(AH48,"S"))&gt;0,(COUNTIF(AI48,"I")+COUNTIF(AI48,"AA")+COUNTIF(AI48,"S"))&gt;0),1,0)+IF(AND((COUNTIF(AK48,"I")+COUNTIF(AK48,"AA")+COUNTIF(AK48,"S"))&gt;0,(COUNTIF(AL48,"I")+COUNTIF(AL48,"AA")+COUNTIF(AL48,"S"))&gt;0),1,0)+IF(AND((COUNTIF(AM48,"I")+COUNTIF(AM48,"AA")+COUNTIF(AM48,"S"))&gt;0,(COUNTIF(AN48,"I")+COUNTIF(AN48,"AA")+COUNTIF(AN48,"S"))&gt;0),1,0)+IF(AND((COUNTIF(AP48,"I")+COUNTIF(AP48,"AA")+COUNTIF(AP48,"S"))&gt;0,(COUNTIF(AQ48,"I")+COUNTIF(AQ48,"AA")+COUNTIF(AQ48,"S"))&gt;0),1,0)+IF(AND((COUNTIF(AR48,"I")+COUNTIF(AR48,"AA")+COUNTIF(AR48,"S"))&gt;0,(COUNTIF(AS48,"I")+COUNTIF(AS48,"AA")+COUNTIF(AS48,"S"))&gt;0),1,0)</f>
        <v>0</v>
      </c>
      <c r="L48" s="22"/>
      <c r="M48" s="34" t="s">
        <v>285</v>
      </c>
      <c r="N48" s="24" t="s">
        <v>283</v>
      </c>
      <c r="O48" s="34" t="s">
        <v>285</v>
      </c>
      <c r="P48" s="24"/>
      <c r="Q48" s="24"/>
      <c r="R48" s="24"/>
      <c r="S48" s="34" t="s">
        <v>24</v>
      </c>
      <c r="T48" s="34" t="s">
        <v>284</v>
      </c>
      <c r="U48" s="24"/>
      <c r="V48" s="24"/>
      <c r="W48" s="24"/>
      <c r="X48" s="24"/>
      <c r="Y48" s="24" t="s">
        <v>283</v>
      </c>
      <c r="Z48" s="24"/>
      <c r="AA48" s="24"/>
      <c r="AB48" s="24"/>
      <c r="AC48" s="24"/>
      <c r="AD48" s="24"/>
      <c r="AE48" s="34" t="s">
        <v>284</v>
      </c>
      <c r="AF48" s="24"/>
      <c r="AG48" s="24"/>
      <c r="AH48" s="34" t="s">
        <v>285</v>
      </c>
      <c r="AI48" s="24"/>
      <c r="AJ48" s="34" t="s">
        <v>24</v>
      </c>
      <c r="AK48" s="24"/>
      <c r="AL48" s="34" t="s">
        <v>285</v>
      </c>
      <c r="AM48" s="24"/>
      <c r="AN48" s="24"/>
      <c r="AO48" s="24"/>
      <c r="AP48" s="24"/>
      <c r="AQ48" s="34" t="s">
        <v>285</v>
      </c>
      <c r="AR48" s="24"/>
      <c r="AS48" s="34" t="s">
        <v>24</v>
      </c>
      <c r="AT48" s="34" t="s">
        <v>285</v>
      </c>
    </row>
    <row r="49" spans="1:46" x14ac:dyDescent="0.3">
      <c r="A49" s="4" t="s">
        <v>266</v>
      </c>
      <c r="B49" s="4" t="s">
        <v>113</v>
      </c>
      <c r="C49" s="4"/>
      <c r="D49" s="29">
        <f>COUNTIF(M49:AT49,"I")</f>
        <v>5</v>
      </c>
      <c r="E49" s="29">
        <f>COUNTIF(M49:AT49,"AA")</f>
        <v>3</v>
      </c>
      <c r="F49" s="29">
        <f>D49+E49</f>
        <v>8</v>
      </c>
      <c r="G49" s="29">
        <f>COUNTIF(M49:AT49,"S")</f>
        <v>2</v>
      </c>
      <c r="H49" s="29">
        <f>IF(M49="I",180,0)+IF(N49="I",90,0)+IF(O49="I",180,0)+IF(P49="I",180,0)+IF(Q49="I",180,0)+IF(R49="I",90,0)+IF(S49="I",180,0)+IF(T49="I",105,0)+IF(U49="I",180,0)+IF(V49="I",180,0)+IF(W49="I",120,0)+IF(X49="I",120,0)+IF(Y49="I",180,0)+IF(Z49="I",180,0)+IF(AA49="I",120,0)+IF(AB49="I",180,0)+IF(AC49="I",120,0)+IF(AD49="I",150,0)+IF(AE49="I",180,0)+IF(AF49="I",180,0)+IF(AG49="I",120,0)+IF(AH49="I",120,0)+IF(AI49="I",180,0)+IF(AJ49="I",120,0)+IF(AK49="I",180,0)+IF(AL49="I",150,0)+IF(AM49="I",180,0)+IF(AN49="I",60,0)+IF(AO49="I",180,0)+IF(AP49="I",180,0)+IF(AQ49="I",180,0)+IF(AR49="I",195,0)+IF(AS49="I",60,0)+IF(AT49="I",60,0)+IF(M49="AA",225,0)+IF(N49="AA",115,0)+IF(O49="AA",225,0)+IF(P49="AA",225,0)+IF(Q49="AA",225,0)+IF(R49="AA",115,0)+IF(S49="AA",225,0)+IF(T49="AA",135,0)+IF(U49="AA",225,0)+IF(V49="AA",225,0)+IF(W49="AA",150,0)+IF(X49="AA",150,0)+IF(Y49="AA",225,0)+IF(Z49="AA",225,0)+IF(AA49="AA",150,0)+IF(AB49="AA",225,0)+IF(AC49="AA",150,0)+IF(AD49="AA",190,0)+IF(AE49="AA",225,0)+IF(AF49="AA",225,0)+IF(AG49="AA",150,0)+IF(AH49="AA",150,0)+IF(AI49="AA",225,0)+IF(AJ49="AA",150,0)+IF(AK49="AA",225,0)+IF(AL49="AA",190,0)+IF(AM49="AA",225,0)+IF(AN49="AA",75,0)+IF(AO49="AA",225,0)+IF(AP49="AA",225,0)+IF(AQ49="AA",225,0)+IF(AR49="AA",245,0)+IF(AS49="AA",75,0)+IF(AT49="AA",75,0)</f>
        <v>1170</v>
      </c>
      <c r="I49" s="29">
        <f>COUNTIF(M49,"I")+COUNTIF(M49,"AA")+COUNTIF(M49,"S")+COUNTIF(N49,"I")+COUNTIF(N49,"AA")+COUNTIF(N49,"S")+COUNTIF(P49,"I")+COUNTIF(P49,"AA")+COUNTIF(P49,"S")+COUNTIF(R49,"I")+COUNTIF(R49,"AA")+COUNTIF(R49,"S")+COUNTIF(T49,"I")+COUNTIF(T49,"AA")+COUNTIF(T49,"S")+COUNTIF(V49,"I")+COUNTIF(V49,"AA")+COUNTIF(V49,"S")+COUNTIF(Y49,"I")+COUNTIF(Y49,"AA")+COUNTIF(Y49,"S")+COUNTIF(AA49,"I")+COUNTIF(AA49,"AA")+COUNTIF(AA49,"S")+COUNTIF(AC49,"I")+COUNTIF(AC49,"AA")+COUNTIF(AC49,"S")+COUNTIF(AD49,"I")+COUNTIF(AD49,"AA")+COUNTIF(AD49,"S")+COUNTIF(AF49,"I")+COUNTIF(AF49,"AA")+COUNTIF(AF49,"S")+COUNTIF(AH49,"I")+COUNTIF(AH49,"AA")+COUNTIF(AH49,"S")+COUNTIF(AK49,"I")+COUNTIF(AK49,"AA")+COUNTIF(AK49,"S")+COUNTIF(AM49,"I")+COUNTIF(AM49,"AA")+COUNTIF(AM49,"S")+COUNTIF(AP49,"I")+COUNTIF(AP49,"AA")+COUNTIF(AP49,"S")+COUNTIF(AR49,"I")+COUNTIF(AR49,"AA")+COUNTIF(AR49,"S")+COUNTIF(AT49,"I")+COUNTIF(AT49,"AA")+COUNTIF(AT49,"S")</f>
        <v>6</v>
      </c>
      <c r="J49" s="29">
        <f>COUNTIF(O49,"I")+COUNTIF(O49,"AA")+COUNTIF(O49,"S")+COUNTIF(Q49,"I")+COUNTIF(Q49,"AA")+COUNTIF(Q49,"S")+COUNTIF(S49,"I")+COUNTIF(S49,"AA")+COUNTIF(S49,"S")+COUNTIF(U49,"I")+COUNTIF(U49,"AA")+COUNTIF(U49,"S")+COUNTIF(W49,"I")+COUNTIF(W49,"AA")+COUNTIF(W49,"S")+COUNTIF(X49,"I")+COUNTIF(X49,"AA")+COUNTIF(X49,"S")+COUNTIF(Z49,"I")+COUNTIF(Z49,"AA")+COUNTIF(Z49,"S")+COUNTIF(AB49,"I")+COUNTIF(AB49,"AA")+COUNTIF(AB49,"S")+COUNTIF(AE49,"I")+COUNTIF(AE49,"AA")+COUNTIF(AE49,"S")+COUNTIF(AG49,"I")+COUNTIF(AG49,"AA")+COUNTIF(AG49,"S")+COUNTIF(AI49,"I")+COUNTIF(AI49,"AA")+COUNTIF(AI49,"S")+COUNTIF(AJ49,"I")+COUNTIF(AJ49,"AA")+COUNTIF(AJ49,"S")+COUNTIF(AL49,"I")+COUNTIF(AL49,"AA")+COUNTIF(AL49,"S")+COUNTIF(AN49,"I")+COUNTIF(AN49,"AA")+COUNTIF(AN49,"S")+COUNTIF(AO49,"I")+COUNTIF(AO49,"AA")+COUNTIF(AO49,"S")+COUNTIF(AQ49,"I")+COUNTIF(AQ49,"AA")+COUNTIF(AQ49,"S")+COUNTIF(AS49,"I")+COUNTIF(AS49,"AA")+COUNTIF(AS49,"S")</f>
        <v>4</v>
      </c>
      <c r="K49" s="29">
        <f>IF(AND((COUNTIF(N49,"I")+COUNTIF(N49,"AA")+COUNTIF(N49,"S"))&gt;0,(COUNTIF(O49,"I")+COUNTIF(O49,"AA")+COUNTIF(O49,"S"))&gt;0),1,0)+IF(AND((COUNTIF(P49,"I")+COUNTIF(P49,"AA")+COUNTIF(P49,"S"))&gt;0,(COUNTIF(Q49,"I")+COUNTIF(Q49,"AA")+COUNTIF(Q49,"S"))&gt;0),1,0)+IF(AND((COUNTIF(R49,"I")+COUNTIF(R49,"AA")+COUNTIF(R49,"S"))&gt;0,(COUNTIF(S49,"I")+COUNTIF(S49,"AA")+COUNTIF(S49,"S"))&gt;0),1,0)+IF(AND((COUNTIF(T49,"I")+COUNTIF(T49,"AA")+COUNTIF(T49,"S"))&gt;0,(COUNTIF(U49,"I")+COUNTIF(U49,"AA")+COUNTIF(U49,"S"))&gt;0),1,0)+IF(AND((COUNTIF(V49,"I")+COUNTIF(V49,"AA")+COUNTIF(V49,"S"))&gt;0,(COUNTIF(W49,"I")+COUNTIF(W49,"AA")+COUNTIF(W49,"S"))&gt;0),1,0)+IF(AND((COUNTIF(Y49,"I")+COUNTIF(Y49,"AA")+COUNTIF(Y49,"S"))&gt;0,(COUNTIF(Z49,"I")+COUNTIF(Z49,"AA")+COUNTIF(Z49,"S"))&gt;0),1,0)+IF(AND((COUNTIF(AA49,"I")+COUNTIF(AA49,"AA")+COUNTIF(AA49,"S"))&gt;0,(COUNTIF(AB49,"I")+COUNTIF(AB49,"AA")+COUNTIF(AB49,"S"))&gt;0),1,0)+IF(AND((COUNTIF(AD49,"I")+COUNTIF(AD49,"AA")+COUNTIF(AD49,"S"))&gt;0,(COUNTIF(AE49,"I")+COUNTIF(AE49,"AA")+COUNTIF(AE49,"S"))&gt;0),1,0)+IF(AND((COUNTIF(AF49,"I")+COUNTIF(AF49,"AA")+COUNTIF(AF49,"S"))&gt;0,(COUNTIF(AG49,"I")+COUNTIF(AG49,"AA")+COUNTIF(AG49,"S"))&gt;0),1,0)+IF(AND((COUNTIF(AH49,"I")+COUNTIF(AH49,"AA")+COUNTIF(AH49,"S"))&gt;0,(COUNTIF(AI49,"I")+COUNTIF(AI49,"AA")+COUNTIF(AI49,"S"))&gt;0),1,0)+IF(AND((COUNTIF(AK49,"I")+COUNTIF(AK49,"AA")+COUNTIF(AK49,"S"))&gt;0,(COUNTIF(AL49,"I")+COUNTIF(AL49,"AA")+COUNTIF(AL49,"S"))&gt;0),1,0)+IF(AND((COUNTIF(AM49,"I")+COUNTIF(AM49,"AA")+COUNTIF(AM49,"S"))&gt;0,(COUNTIF(AN49,"I")+COUNTIF(AN49,"AA")+COUNTIF(AN49,"S"))&gt;0),1,0)+IF(AND((COUNTIF(AP49,"I")+COUNTIF(AP49,"AA")+COUNTIF(AP49,"S"))&gt;0,(COUNTIF(AQ49,"I")+COUNTIF(AQ49,"AA")+COUNTIF(AQ49,"S"))&gt;0),1,0)+IF(AND((COUNTIF(AR49,"I")+COUNTIF(AR49,"AA")+COUNTIF(AR49,"S"))&gt;0,(COUNTIF(AS49,"I")+COUNTIF(AS49,"AA")+COUNTIF(AS49,"S"))&gt;0),1,0)</f>
        <v>0</v>
      </c>
      <c r="L49" s="22"/>
      <c r="M49" s="24"/>
      <c r="N49" s="24"/>
      <c r="O49" s="24"/>
      <c r="P49" s="34" t="s">
        <v>285</v>
      </c>
      <c r="Q49" s="24"/>
      <c r="R49" s="24"/>
      <c r="S49" s="24" t="s">
        <v>283</v>
      </c>
      <c r="T49" s="34" t="s">
        <v>285</v>
      </c>
      <c r="U49" s="24"/>
      <c r="V49" s="24" t="s">
        <v>283</v>
      </c>
      <c r="W49" s="34" t="s">
        <v>24</v>
      </c>
      <c r="X49" s="24" t="s">
        <v>283</v>
      </c>
      <c r="Y49" s="34" t="s">
        <v>285</v>
      </c>
      <c r="Z49" s="24"/>
      <c r="AA49" s="24"/>
      <c r="AB49" s="24"/>
      <c r="AC49" s="24"/>
      <c r="AD49" s="24"/>
      <c r="AE49" s="24"/>
      <c r="AF49" s="34" t="s">
        <v>24</v>
      </c>
      <c r="AG49" s="24"/>
      <c r="AH49" s="34" t="s">
        <v>24</v>
      </c>
      <c r="AI49" s="24"/>
      <c r="AJ49" s="34" t="s">
        <v>285</v>
      </c>
      <c r="AK49" s="24"/>
      <c r="AL49" s="24"/>
      <c r="AM49" s="24"/>
      <c r="AN49" s="24"/>
      <c r="AO49" s="24"/>
      <c r="AP49" s="24"/>
      <c r="AQ49" s="34" t="s">
        <v>284</v>
      </c>
      <c r="AR49" s="24"/>
      <c r="AS49" s="34" t="s">
        <v>285</v>
      </c>
      <c r="AT49" s="34" t="s">
        <v>284</v>
      </c>
    </row>
    <row r="50" spans="1:46" x14ac:dyDescent="0.3">
      <c r="A50" s="4" t="s">
        <v>267</v>
      </c>
      <c r="B50" s="4" t="s">
        <v>113</v>
      </c>
      <c r="C50" s="4"/>
      <c r="D50" s="29">
        <f>COUNTIF(M50:AT50,"I")</f>
        <v>5</v>
      </c>
      <c r="E50" s="29">
        <f>COUNTIF(M50:AT50,"AA")</f>
        <v>3</v>
      </c>
      <c r="F50" s="29">
        <f>D50+E50</f>
        <v>8</v>
      </c>
      <c r="G50" s="29">
        <f>COUNTIF(M50:AT50,"S")</f>
        <v>2</v>
      </c>
      <c r="H50" s="29">
        <f>IF(M50="I",180,0)+IF(N50="I",90,0)+IF(O50="I",180,0)+IF(P50="I",180,0)+IF(Q50="I",180,0)+IF(R50="I",90,0)+IF(S50="I",180,0)+IF(T50="I",105,0)+IF(U50="I",180,0)+IF(V50="I",180,0)+IF(W50="I",120,0)+IF(X50="I",120,0)+IF(Y50="I",180,0)+IF(Z50="I",180,0)+IF(AA50="I",120,0)+IF(AB50="I",180,0)+IF(AC50="I",120,0)+IF(AD50="I",150,0)+IF(AE50="I",180,0)+IF(AF50="I",180,0)+IF(AG50="I",120,0)+IF(AH50="I",120,0)+IF(AI50="I",180,0)+IF(AJ50="I",120,0)+IF(AK50="I",180,0)+IF(AL50="I",150,0)+IF(AM50="I",180,0)+IF(AN50="I",60,0)+IF(AO50="I",180,0)+IF(AP50="I",180,0)+IF(AQ50="I",180,0)+IF(AR50="I",195,0)+IF(AS50="I",60,0)+IF(AT50="I",60,0)+IF(M50="AA",225,0)+IF(N50="AA",115,0)+IF(O50="AA",225,0)+IF(P50="AA",225,0)+IF(Q50="AA",225,0)+IF(R50="AA",115,0)+IF(S50="AA",225,0)+IF(T50="AA",135,0)+IF(U50="AA",225,0)+IF(V50="AA",225,0)+IF(W50="AA",150,0)+IF(X50="AA",150,0)+IF(Y50="AA",225,0)+IF(Z50="AA",225,0)+IF(AA50="AA",150,0)+IF(AB50="AA",225,0)+IF(AC50="AA",150,0)+IF(AD50="AA",190,0)+IF(AE50="AA",225,0)+IF(AF50="AA",225,0)+IF(AG50="AA",150,0)+IF(AH50="AA",150,0)+IF(AI50="AA",225,0)+IF(AJ50="AA",150,0)+IF(AK50="AA",225,0)+IF(AL50="AA",190,0)+IF(AM50="AA",225,0)+IF(AN50="AA",75,0)+IF(AO50="AA",225,0)+IF(AP50="AA",225,0)+IF(AQ50="AA",225,0)+IF(AR50="AA",245,0)+IF(AS50="AA",75,0)+IF(AT50="AA",75,0)</f>
        <v>1230</v>
      </c>
      <c r="I50" s="29">
        <f>COUNTIF(M50,"I")+COUNTIF(M50,"AA")+COUNTIF(M50,"S")+COUNTIF(N50,"I")+COUNTIF(N50,"AA")+COUNTIF(N50,"S")+COUNTIF(P50,"I")+COUNTIF(P50,"AA")+COUNTIF(P50,"S")+COUNTIF(R50,"I")+COUNTIF(R50,"AA")+COUNTIF(R50,"S")+COUNTIF(T50,"I")+COUNTIF(T50,"AA")+COUNTIF(T50,"S")+COUNTIF(V50,"I")+COUNTIF(V50,"AA")+COUNTIF(V50,"S")+COUNTIF(Y50,"I")+COUNTIF(Y50,"AA")+COUNTIF(Y50,"S")+COUNTIF(AA50,"I")+COUNTIF(AA50,"AA")+COUNTIF(AA50,"S")+COUNTIF(AC50,"I")+COUNTIF(AC50,"AA")+COUNTIF(AC50,"S")+COUNTIF(AD50,"I")+COUNTIF(AD50,"AA")+COUNTIF(AD50,"S")+COUNTIF(AF50,"I")+COUNTIF(AF50,"AA")+COUNTIF(AF50,"S")+COUNTIF(AH50,"I")+COUNTIF(AH50,"AA")+COUNTIF(AH50,"S")+COUNTIF(AK50,"I")+COUNTIF(AK50,"AA")+COUNTIF(AK50,"S")+COUNTIF(AM50,"I")+COUNTIF(AM50,"AA")+COUNTIF(AM50,"S")+COUNTIF(AP50,"I")+COUNTIF(AP50,"AA")+COUNTIF(AP50,"S")+COUNTIF(AR50,"I")+COUNTIF(AR50,"AA")+COUNTIF(AR50,"S")+COUNTIF(AT50,"I")+COUNTIF(AT50,"AA")+COUNTIF(AT50,"S")</f>
        <v>5</v>
      </c>
      <c r="J50" s="29">
        <f>COUNTIF(O50,"I")+COUNTIF(O50,"AA")+COUNTIF(O50,"S")+COUNTIF(Q50,"I")+COUNTIF(Q50,"AA")+COUNTIF(Q50,"S")+COUNTIF(S50,"I")+COUNTIF(S50,"AA")+COUNTIF(S50,"S")+COUNTIF(U50,"I")+COUNTIF(U50,"AA")+COUNTIF(U50,"S")+COUNTIF(W50,"I")+COUNTIF(W50,"AA")+COUNTIF(W50,"S")+COUNTIF(X50,"I")+COUNTIF(X50,"AA")+COUNTIF(X50,"S")+COUNTIF(Z50,"I")+COUNTIF(Z50,"AA")+COUNTIF(Z50,"S")+COUNTIF(AB50,"I")+COUNTIF(AB50,"AA")+COUNTIF(AB50,"S")+COUNTIF(AE50,"I")+COUNTIF(AE50,"AA")+COUNTIF(AE50,"S")+COUNTIF(AG50,"I")+COUNTIF(AG50,"AA")+COUNTIF(AG50,"S")+COUNTIF(AI50,"I")+COUNTIF(AI50,"AA")+COUNTIF(AI50,"S")+COUNTIF(AJ50,"I")+COUNTIF(AJ50,"AA")+COUNTIF(AJ50,"S")+COUNTIF(AL50,"I")+COUNTIF(AL50,"AA")+COUNTIF(AL50,"S")+COUNTIF(AN50,"I")+COUNTIF(AN50,"AA")+COUNTIF(AN50,"S")+COUNTIF(AO50,"I")+COUNTIF(AO50,"AA")+COUNTIF(AO50,"S")+COUNTIF(AQ50,"I")+COUNTIF(AQ50,"AA")+COUNTIF(AQ50,"S")+COUNTIF(AS50,"I")+COUNTIF(AS50,"AA")+COUNTIF(AS50,"S")</f>
        <v>5</v>
      </c>
      <c r="K50" s="29">
        <f>IF(AND((COUNTIF(N50,"I")+COUNTIF(N50,"AA")+COUNTIF(N50,"S"))&gt;0,(COUNTIF(O50,"I")+COUNTIF(O50,"AA")+COUNTIF(O50,"S"))&gt;0),1,0)+IF(AND((COUNTIF(P50,"I")+COUNTIF(P50,"AA")+COUNTIF(P50,"S"))&gt;0,(COUNTIF(Q50,"I")+COUNTIF(Q50,"AA")+COUNTIF(Q50,"S"))&gt;0),1,0)+IF(AND((COUNTIF(R50,"I")+COUNTIF(R50,"AA")+COUNTIF(R50,"S"))&gt;0,(COUNTIF(S50,"I")+COUNTIF(S50,"AA")+COUNTIF(S50,"S"))&gt;0),1,0)+IF(AND((COUNTIF(T50,"I")+COUNTIF(T50,"AA")+COUNTIF(T50,"S"))&gt;0,(COUNTIF(U50,"I")+COUNTIF(U50,"AA")+COUNTIF(U50,"S"))&gt;0),1,0)+IF(AND((COUNTIF(V50,"I")+COUNTIF(V50,"AA")+COUNTIF(V50,"S"))&gt;0,(COUNTIF(W50,"I")+COUNTIF(W50,"AA")+COUNTIF(W50,"S"))&gt;0),1,0)+IF(AND((COUNTIF(Y50,"I")+COUNTIF(Y50,"AA")+COUNTIF(Y50,"S"))&gt;0,(COUNTIF(Z50,"I")+COUNTIF(Z50,"AA")+COUNTIF(Z50,"S"))&gt;0),1,0)+IF(AND((COUNTIF(AA50,"I")+COUNTIF(AA50,"AA")+COUNTIF(AA50,"S"))&gt;0,(COUNTIF(AB50,"I")+COUNTIF(AB50,"AA")+COUNTIF(AB50,"S"))&gt;0),1,0)+IF(AND((COUNTIF(AD50,"I")+COUNTIF(AD50,"AA")+COUNTIF(AD50,"S"))&gt;0,(COUNTIF(AE50,"I")+COUNTIF(AE50,"AA")+COUNTIF(AE50,"S"))&gt;0),1,0)+IF(AND((COUNTIF(AF50,"I")+COUNTIF(AF50,"AA")+COUNTIF(AF50,"S"))&gt;0,(COUNTIF(AG50,"I")+COUNTIF(AG50,"AA")+COUNTIF(AG50,"S"))&gt;0),1,0)+IF(AND((COUNTIF(AH50,"I")+COUNTIF(AH50,"AA")+COUNTIF(AH50,"S"))&gt;0,(COUNTIF(AI50,"I")+COUNTIF(AI50,"AA")+COUNTIF(AI50,"S"))&gt;0),1,0)+IF(AND((COUNTIF(AK50,"I")+COUNTIF(AK50,"AA")+COUNTIF(AK50,"S"))&gt;0,(COUNTIF(AL50,"I")+COUNTIF(AL50,"AA")+COUNTIF(AL50,"S"))&gt;0),1,0)+IF(AND((COUNTIF(AM50,"I")+COUNTIF(AM50,"AA")+COUNTIF(AM50,"S"))&gt;0,(COUNTIF(AN50,"I")+COUNTIF(AN50,"AA")+COUNTIF(AN50,"S"))&gt;0),1,0)+IF(AND((COUNTIF(AP50,"I")+COUNTIF(AP50,"AA")+COUNTIF(AP50,"S"))&gt;0,(COUNTIF(AQ50,"I")+COUNTIF(AQ50,"AA")+COUNTIF(AQ50,"S"))&gt;0),1,0)+IF(AND((COUNTIF(AR50,"I")+COUNTIF(AR50,"AA")+COUNTIF(AR50,"S"))&gt;0,(COUNTIF(AS50,"I")+COUNTIF(AS50,"AA")+COUNTIF(AS50,"S"))&gt;0),1,0)</f>
        <v>0</v>
      </c>
      <c r="L50" s="22"/>
      <c r="M50" s="24"/>
      <c r="N50" s="24"/>
      <c r="O50" s="34" t="s">
        <v>285</v>
      </c>
      <c r="P50" s="24"/>
      <c r="Q50" s="24"/>
      <c r="R50" s="24" t="s">
        <v>283</v>
      </c>
      <c r="S50" s="34" t="s">
        <v>24</v>
      </c>
      <c r="T50" s="34" t="s">
        <v>284</v>
      </c>
      <c r="U50" s="24" t="s">
        <v>283</v>
      </c>
      <c r="V50" s="34" t="s">
        <v>284</v>
      </c>
      <c r="W50" s="24"/>
      <c r="X50" s="24"/>
      <c r="Y50" s="34" t="s">
        <v>285</v>
      </c>
      <c r="Z50" s="24"/>
      <c r="AA50" s="24"/>
      <c r="AB50" s="24"/>
      <c r="AC50" s="34" t="s">
        <v>285</v>
      </c>
      <c r="AD50" s="24"/>
      <c r="AE50" s="24"/>
      <c r="AF50" s="24"/>
      <c r="AG50" s="24"/>
      <c r="AH50" s="34" t="s">
        <v>285</v>
      </c>
      <c r="AI50" s="24"/>
      <c r="AJ50" s="34" t="s">
        <v>24</v>
      </c>
      <c r="AK50" s="24"/>
      <c r="AL50" s="24"/>
      <c r="AM50" s="24"/>
      <c r="AN50" s="24"/>
      <c r="AO50" s="24"/>
      <c r="AP50" s="24"/>
      <c r="AQ50" s="34" t="s">
        <v>285</v>
      </c>
      <c r="AR50" s="24"/>
      <c r="AS50" s="34" t="s">
        <v>24</v>
      </c>
      <c r="AT50" s="24"/>
    </row>
    <row r="51" spans="1:46" x14ac:dyDescent="0.3">
      <c r="A51" s="4" t="s">
        <v>268</v>
      </c>
      <c r="B51" s="4" t="s">
        <v>113</v>
      </c>
      <c r="C51" s="4"/>
      <c r="D51" s="29">
        <f>COUNTIF(M51:AT51,"I")</f>
        <v>5</v>
      </c>
      <c r="E51" s="29">
        <f>COUNTIF(M51:AT51,"AA")</f>
        <v>3</v>
      </c>
      <c r="F51" s="29">
        <f>D51+E51</f>
        <v>8</v>
      </c>
      <c r="G51" s="29">
        <f>COUNTIF(M51:AT51,"S")</f>
        <v>2</v>
      </c>
      <c r="H51" s="29">
        <f>IF(M51="I",180,0)+IF(N51="I",90,0)+IF(O51="I",180,0)+IF(P51="I",180,0)+IF(Q51="I",180,0)+IF(R51="I",90,0)+IF(S51="I",180,0)+IF(T51="I",105,0)+IF(U51="I",180,0)+IF(V51="I",180,0)+IF(W51="I",120,0)+IF(X51="I",120,0)+IF(Y51="I",180,0)+IF(Z51="I",180,0)+IF(AA51="I",120,0)+IF(AB51="I",180,0)+IF(AC51="I",120,0)+IF(AD51="I",150,0)+IF(AE51="I",180,0)+IF(AF51="I",180,0)+IF(AG51="I",120,0)+IF(AH51="I",120,0)+IF(AI51="I",180,0)+IF(AJ51="I",120,0)+IF(AK51="I",180,0)+IF(AL51="I",150,0)+IF(AM51="I",180,0)+IF(AN51="I",60,0)+IF(AO51="I",180,0)+IF(AP51="I",180,0)+IF(AQ51="I",180,0)+IF(AR51="I",195,0)+IF(AS51="I",60,0)+IF(AT51="I",60,0)+IF(M51="AA",225,0)+IF(N51="AA",115,0)+IF(O51="AA",225,0)+IF(P51="AA",225,0)+IF(Q51="AA",225,0)+IF(R51="AA",115,0)+IF(S51="AA",225,0)+IF(T51="AA",135,0)+IF(U51="AA",225,0)+IF(V51="AA",225,0)+IF(W51="AA",150,0)+IF(X51="AA",150,0)+IF(Y51="AA",225,0)+IF(Z51="AA",225,0)+IF(AA51="AA",150,0)+IF(AB51="AA",225,0)+IF(AC51="AA",150,0)+IF(AD51="AA",190,0)+IF(AE51="AA",225,0)+IF(AF51="AA",225,0)+IF(AG51="AA",150,0)+IF(AH51="AA",150,0)+IF(AI51="AA",225,0)+IF(AJ51="AA",150,0)+IF(AK51="AA",225,0)+IF(AL51="AA",190,0)+IF(AM51="AA",225,0)+IF(AN51="AA",75,0)+IF(AO51="AA",225,0)+IF(AP51="AA",225,0)+IF(AQ51="AA",225,0)+IF(AR51="AA",245,0)+IF(AS51="AA",75,0)+IF(AT51="AA",75,0)</f>
        <v>1330</v>
      </c>
      <c r="I51" s="29">
        <f>COUNTIF(M51,"I")+COUNTIF(M51,"AA")+COUNTIF(M51,"S")+COUNTIF(N51,"I")+COUNTIF(N51,"AA")+COUNTIF(N51,"S")+COUNTIF(P51,"I")+COUNTIF(P51,"AA")+COUNTIF(P51,"S")+COUNTIF(R51,"I")+COUNTIF(R51,"AA")+COUNTIF(R51,"S")+COUNTIF(T51,"I")+COUNTIF(T51,"AA")+COUNTIF(T51,"S")+COUNTIF(V51,"I")+COUNTIF(V51,"AA")+COUNTIF(V51,"S")+COUNTIF(Y51,"I")+COUNTIF(Y51,"AA")+COUNTIF(Y51,"S")+COUNTIF(AA51,"I")+COUNTIF(AA51,"AA")+COUNTIF(AA51,"S")+COUNTIF(AC51,"I")+COUNTIF(AC51,"AA")+COUNTIF(AC51,"S")+COUNTIF(AD51,"I")+COUNTIF(AD51,"AA")+COUNTIF(AD51,"S")+COUNTIF(AF51,"I")+COUNTIF(AF51,"AA")+COUNTIF(AF51,"S")+COUNTIF(AH51,"I")+COUNTIF(AH51,"AA")+COUNTIF(AH51,"S")+COUNTIF(AK51,"I")+COUNTIF(AK51,"AA")+COUNTIF(AK51,"S")+COUNTIF(AM51,"I")+COUNTIF(AM51,"AA")+COUNTIF(AM51,"S")+COUNTIF(AP51,"I")+COUNTIF(AP51,"AA")+COUNTIF(AP51,"S")+COUNTIF(AR51,"I")+COUNTIF(AR51,"AA")+COUNTIF(AR51,"S")+COUNTIF(AT51,"I")+COUNTIF(AT51,"AA")+COUNTIF(AT51,"S")</f>
        <v>6</v>
      </c>
      <c r="J51" s="29">
        <f>COUNTIF(O51,"I")+COUNTIF(O51,"AA")+COUNTIF(O51,"S")+COUNTIF(Q51,"I")+COUNTIF(Q51,"AA")+COUNTIF(Q51,"S")+COUNTIF(S51,"I")+COUNTIF(S51,"AA")+COUNTIF(S51,"S")+COUNTIF(U51,"I")+COUNTIF(U51,"AA")+COUNTIF(U51,"S")+COUNTIF(W51,"I")+COUNTIF(W51,"AA")+COUNTIF(W51,"S")+COUNTIF(X51,"I")+COUNTIF(X51,"AA")+COUNTIF(X51,"S")+COUNTIF(Z51,"I")+COUNTIF(Z51,"AA")+COUNTIF(Z51,"S")+COUNTIF(AB51,"I")+COUNTIF(AB51,"AA")+COUNTIF(AB51,"S")+COUNTIF(AE51,"I")+COUNTIF(AE51,"AA")+COUNTIF(AE51,"S")+COUNTIF(AG51,"I")+COUNTIF(AG51,"AA")+COUNTIF(AG51,"S")+COUNTIF(AI51,"I")+COUNTIF(AI51,"AA")+COUNTIF(AI51,"S")+COUNTIF(AJ51,"I")+COUNTIF(AJ51,"AA")+COUNTIF(AJ51,"S")+COUNTIF(AL51,"I")+COUNTIF(AL51,"AA")+COUNTIF(AL51,"S")+COUNTIF(AN51,"I")+COUNTIF(AN51,"AA")+COUNTIF(AN51,"S")+COUNTIF(AO51,"I")+COUNTIF(AO51,"AA")+COUNTIF(AO51,"S")+COUNTIF(AQ51,"I")+COUNTIF(AQ51,"AA")+COUNTIF(AQ51,"S")+COUNTIF(AS51,"I")+COUNTIF(AS51,"AA")+COUNTIF(AS51,"S")</f>
        <v>4</v>
      </c>
      <c r="K51" s="29">
        <f>IF(AND((COUNTIF(N51,"I")+COUNTIF(N51,"AA")+COUNTIF(N51,"S"))&gt;0,(COUNTIF(O51,"I")+COUNTIF(O51,"AA")+COUNTIF(O51,"S"))&gt;0),1,0)+IF(AND((COUNTIF(P51,"I")+COUNTIF(P51,"AA")+COUNTIF(P51,"S"))&gt;0,(COUNTIF(Q51,"I")+COUNTIF(Q51,"AA")+COUNTIF(Q51,"S"))&gt;0),1,0)+IF(AND((COUNTIF(R51,"I")+COUNTIF(R51,"AA")+COUNTIF(R51,"S"))&gt;0,(COUNTIF(S51,"I")+COUNTIF(S51,"AA")+COUNTIF(S51,"S"))&gt;0),1,0)+IF(AND((COUNTIF(T51,"I")+COUNTIF(T51,"AA")+COUNTIF(T51,"S"))&gt;0,(COUNTIF(U51,"I")+COUNTIF(U51,"AA")+COUNTIF(U51,"S"))&gt;0),1,0)+IF(AND((COUNTIF(V51,"I")+COUNTIF(V51,"AA")+COUNTIF(V51,"S"))&gt;0,(COUNTIF(W51,"I")+COUNTIF(W51,"AA")+COUNTIF(W51,"S"))&gt;0),1,0)+IF(AND((COUNTIF(Y51,"I")+COUNTIF(Y51,"AA")+COUNTIF(Y51,"S"))&gt;0,(COUNTIF(Z51,"I")+COUNTIF(Z51,"AA")+COUNTIF(Z51,"S"))&gt;0),1,0)+IF(AND((COUNTIF(AA51,"I")+COUNTIF(AA51,"AA")+COUNTIF(AA51,"S"))&gt;0,(COUNTIF(AB51,"I")+COUNTIF(AB51,"AA")+COUNTIF(AB51,"S"))&gt;0),1,0)+IF(AND((COUNTIF(AD51,"I")+COUNTIF(AD51,"AA")+COUNTIF(AD51,"S"))&gt;0,(COUNTIF(AE51,"I")+COUNTIF(AE51,"AA")+COUNTIF(AE51,"S"))&gt;0),1,0)+IF(AND((COUNTIF(AF51,"I")+COUNTIF(AF51,"AA")+COUNTIF(AF51,"S"))&gt;0,(COUNTIF(AG51,"I")+COUNTIF(AG51,"AA")+COUNTIF(AG51,"S"))&gt;0),1,0)+IF(AND((COUNTIF(AH51,"I")+COUNTIF(AH51,"AA")+COUNTIF(AH51,"S"))&gt;0,(COUNTIF(AI51,"I")+COUNTIF(AI51,"AA")+COUNTIF(AI51,"S"))&gt;0),1,0)+IF(AND((COUNTIF(AK51,"I")+COUNTIF(AK51,"AA")+COUNTIF(AK51,"S"))&gt;0,(COUNTIF(AL51,"I")+COUNTIF(AL51,"AA")+COUNTIF(AL51,"S"))&gt;0),1,0)+IF(AND((COUNTIF(AM51,"I")+COUNTIF(AM51,"AA")+COUNTIF(AM51,"S"))&gt;0,(COUNTIF(AN51,"I")+COUNTIF(AN51,"AA")+COUNTIF(AN51,"S"))&gt;0),1,0)+IF(AND((COUNTIF(AP51,"I")+COUNTIF(AP51,"AA")+COUNTIF(AP51,"S"))&gt;0,(COUNTIF(AQ51,"I")+COUNTIF(AQ51,"AA")+COUNTIF(AQ51,"S"))&gt;0),1,0)+IF(AND((COUNTIF(AR51,"I")+COUNTIF(AR51,"AA")+COUNTIF(AR51,"S"))&gt;0,(COUNTIF(AS51,"I")+COUNTIF(AS51,"AA")+COUNTIF(AS51,"S"))&gt;0),1,0)</f>
        <v>0</v>
      </c>
      <c r="L51" s="22"/>
      <c r="M51" s="24"/>
      <c r="N51" s="24" t="s">
        <v>283</v>
      </c>
      <c r="O51" s="24"/>
      <c r="P51" s="24"/>
      <c r="Q51" s="34" t="s">
        <v>285</v>
      </c>
      <c r="R51" s="24"/>
      <c r="S51" s="34" t="s">
        <v>24</v>
      </c>
      <c r="T51" s="34" t="s">
        <v>285</v>
      </c>
      <c r="U51" s="24"/>
      <c r="V51" s="24" t="s">
        <v>283</v>
      </c>
      <c r="W51" s="24"/>
      <c r="X51" s="24"/>
      <c r="Y51" s="34" t="s">
        <v>285</v>
      </c>
      <c r="Z51" s="24"/>
      <c r="AA51" s="24"/>
      <c r="AB51" s="24"/>
      <c r="AC51" s="34" t="s">
        <v>24</v>
      </c>
      <c r="AD51" s="24"/>
      <c r="AE51" s="24"/>
      <c r="AF51" s="24"/>
      <c r="AG51" s="24"/>
      <c r="AH51" s="34" t="s">
        <v>285</v>
      </c>
      <c r="AI51" s="24"/>
      <c r="AJ51" s="24"/>
      <c r="AK51" s="24"/>
      <c r="AL51" s="34" t="s">
        <v>24</v>
      </c>
      <c r="AM51" s="34" t="s">
        <v>284</v>
      </c>
      <c r="AN51" s="24"/>
      <c r="AO51" s="24"/>
      <c r="AP51" s="34" t="s">
        <v>285</v>
      </c>
      <c r="AQ51" s="24"/>
      <c r="AR51" s="24"/>
      <c r="AS51" s="34" t="s">
        <v>284</v>
      </c>
      <c r="AT51" s="24"/>
    </row>
    <row r="52" spans="1:46" x14ac:dyDescent="0.3">
      <c r="A52" s="4" t="s">
        <v>269</v>
      </c>
      <c r="B52" s="4" t="s">
        <v>274</v>
      </c>
      <c r="C52" s="4"/>
      <c r="D52" s="29">
        <f>COUNTIF(M52:AT52,"I")</f>
        <v>4</v>
      </c>
      <c r="E52" s="29">
        <f>COUNTIF(M52:AT52,"AA")</f>
        <v>4</v>
      </c>
      <c r="F52" s="29">
        <f>D52+E52</f>
        <v>8</v>
      </c>
      <c r="G52" s="29">
        <f>COUNTIF(M52:AT52,"S")</f>
        <v>2</v>
      </c>
      <c r="H52" s="29">
        <f>IF(M52="I",180,0)+IF(N52="I",90,0)+IF(O52="I",180,0)+IF(P52="I",180,0)+IF(Q52="I",180,0)+IF(R52="I",90,0)+IF(S52="I",180,0)+IF(T52="I",105,0)+IF(U52="I",180,0)+IF(V52="I",180,0)+IF(W52="I",120,0)+IF(X52="I",120,0)+IF(Y52="I",180,0)+IF(Z52="I",180,0)+IF(AA52="I",120,0)+IF(AB52="I",180,0)+IF(AC52="I",120,0)+IF(AD52="I",150,0)+IF(AE52="I",180,0)+IF(AF52="I",180,0)+IF(AG52="I",120,0)+IF(AH52="I",120,0)+IF(AI52="I",180,0)+IF(AJ52="I",120,0)+IF(AK52="I",180,0)+IF(AL52="I",150,0)+IF(AM52="I",180,0)+IF(AN52="I",60,0)+IF(AO52="I",180,0)+IF(AP52="I",180,0)+IF(AQ52="I",180,0)+IF(AR52="I",195,0)+IF(AS52="I",60,0)+IF(AT52="I",60,0)+IF(M52="AA",225,0)+IF(N52="AA",115,0)+IF(O52="AA",225,0)+IF(P52="AA",225,0)+IF(Q52="AA",225,0)+IF(R52="AA",115,0)+IF(S52="AA",225,0)+IF(T52="AA",135,0)+IF(U52="AA",225,0)+IF(V52="AA",225,0)+IF(W52="AA",150,0)+IF(X52="AA",150,0)+IF(Y52="AA",225,0)+IF(Z52="AA",225,0)+IF(AA52="AA",150,0)+IF(AB52="AA",225,0)+IF(AC52="AA",150,0)+IF(AD52="AA",190,0)+IF(AE52="AA",225,0)+IF(AF52="AA",225,0)+IF(AG52="AA",150,0)+IF(AH52="AA",150,0)+IF(AI52="AA",225,0)+IF(AJ52="AA",150,0)+IF(AK52="AA",225,0)+IF(AL52="AA",190,0)+IF(AM52="AA",225,0)+IF(AN52="AA",75,0)+IF(AO52="AA",225,0)+IF(AP52="AA",225,0)+IF(AQ52="AA",225,0)+IF(AR52="AA",245,0)+IF(AS52="AA",75,0)+IF(AT52="AA",75,0)</f>
        <v>1360</v>
      </c>
      <c r="I52" s="29">
        <f>COUNTIF(M52,"I")+COUNTIF(M52,"AA")+COUNTIF(M52,"S")+COUNTIF(N52,"I")+COUNTIF(N52,"AA")+COUNTIF(N52,"S")+COUNTIF(P52,"I")+COUNTIF(P52,"AA")+COUNTIF(P52,"S")+COUNTIF(R52,"I")+COUNTIF(R52,"AA")+COUNTIF(R52,"S")+COUNTIF(T52,"I")+COUNTIF(T52,"AA")+COUNTIF(T52,"S")+COUNTIF(V52,"I")+COUNTIF(V52,"AA")+COUNTIF(V52,"S")+COUNTIF(Y52,"I")+COUNTIF(Y52,"AA")+COUNTIF(Y52,"S")+COUNTIF(AA52,"I")+COUNTIF(AA52,"AA")+COUNTIF(AA52,"S")+COUNTIF(AC52,"I")+COUNTIF(AC52,"AA")+COUNTIF(AC52,"S")+COUNTIF(AD52,"I")+COUNTIF(AD52,"AA")+COUNTIF(AD52,"S")+COUNTIF(AF52,"I")+COUNTIF(AF52,"AA")+COUNTIF(AF52,"S")+COUNTIF(AH52,"I")+COUNTIF(AH52,"AA")+COUNTIF(AH52,"S")+COUNTIF(AK52,"I")+COUNTIF(AK52,"AA")+COUNTIF(AK52,"S")+COUNTIF(AM52,"I")+COUNTIF(AM52,"AA")+COUNTIF(AM52,"S")+COUNTIF(AP52,"I")+COUNTIF(AP52,"AA")+COUNTIF(AP52,"S")+COUNTIF(AR52,"I")+COUNTIF(AR52,"AA")+COUNTIF(AR52,"S")+COUNTIF(AT52,"I")+COUNTIF(AT52,"AA")+COUNTIF(AT52,"S")</f>
        <v>4</v>
      </c>
      <c r="J52" s="29">
        <f>COUNTIF(O52,"I")+COUNTIF(O52,"AA")+COUNTIF(O52,"S")+COUNTIF(Q52,"I")+COUNTIF(Q52,"AA")+COUNTIF(Q52,"S")+COUNTIF(S52,"I")+COUNTIF(S52,"AA")+COUNTIF(S52,"S")+COUNTIF(U52,"I")+COUNTIF(U52,"AA")+COUNTIF(U52,"S")+COUNTIF(W52,"I")+COUNTIF(W52,"AA")+COUNTIF(W52,"S")+COUNTIF(X52,"I")+COUNTIF(X52,"AA")+COUNTIF(X52,"S")+COUNTIF(Z52,"I")+COUNTIF(Z52,"AA")+COUNTIF(Z52,"S")+COUNTIF(AB52,"I")+COUNTIF(AB52,"AA")+COUNTIF(AB52,"S")+COUNTIF(AE52,"I")+COUNTIF(AE52,"AA")+COUNTIF(AE52,"S")+COUNTIF(AG52,"I")+COUNTIF(AG52,"AA")+COUNTIF(AG52,"S")+COUNTIF(AI52,"I")+COUNTIF(AI52,"AA")+COUNTIF(AI52,"S")+COUNTIF(AJ52,"I")+COUNTIF(AJ52,"AA")+COUNTIF(AJ52,"S")+COUNTIF(AL52,"I")+COUNTIF(AL52,"AA")+COUNTIF(AL52,"S")+COUNTIF(AN52,"I")+COUNTIF(AN52,"AA")+COUNTIF(AN52,"S")+COUNTIF(AO52,"I")+COUNTIF(AO52,"AA")+COUNTIF(AO52,"S")+COUNTIF(AQ52,"I")+COUNTIF(AQ52,"AA")+COUNTIF(AQ52,"S")+COUNTIF(AS52,"I")+COUNTIF(AS52,"AA")+COUNTIF(AS52,"S")</f>
        <v>6</v>
      </c>
      <c r="K52" s="29">
        <f>IF(AND((COUNTIF(N52,"I")+COUNTIF(N52,"AA")+COUNTIF(N52,"S"))&gt;0,(COUNTIF(O52,"I")+COUNTIF(O52,"AA")+COUNTIF(O52,"S"))&gt;0),1,0)+IF(AND((COUNTIF(P52,"I")+COUNTIF(P52,"AA")+COUNTIF(P52,"S"))&gt;0,(COUNTIF(Q52,"I")+COUNTIF(Q52,"AA")+COUNTIF(Q52,"S"))&gt;0),1,0)+IF(AND((COUNTIF(R52,"I")+COUNTIF(R52,"AA")+COUNTIF(R52,"S"))&gt;0,(COUNTIF(S52,"I")+COUNTIF(S52,"AA")+COUNTIF(S52,"S"))&gt;0),1,0)+IF(AND((COUNTIF(T52,"I")+COUNTIF(T52,"AA")+COUNTIF(T52,"S"))&gt;0,(COUNTIF(U52,"I")+COUNTIF(U52,"AA")+COUNTIF(U52,"S"))&gt;0),1,0)+IF(AND((COUNTIF(V52,"I")+COUNTIF(V52,"AA")+COUNTIF(V52,"S"))&gt;0,(COUNTIF(W52,"I")+COUNTIF(W52,"AA")+COUNTIF(W52,"S"))&gt;0),1,0)+IF(AND((COUNTIF(Y52,"I")+COUNTIF(Y52,"AA")+COUNTIF(Y52,"S"))&gt;0,(COUNTIF(Z52,"I")+COUNTIF(Z52,"AA")+COUNTIF(Z52,"S"))&gt;0),1,0)+IF(AND((COUNTIF(AA52,"I")+COUNTIF(AA52,"AA")+COUNTIF(AA52,"S"))&gt;0,(COUNTIF(AB52,"I")+COUNTIF(AB52,"AA")+COUNTIF(AB52,"S"))&gt;0),1,0)+IF(AND((COUNTIF(AD52,"I")+COUNTIF(AD52,"AA")+COUNTIF(AD52,"S"))&gt;0,(COUNTIF(AE52,"I")+COUNTIF(AE52,"AA")+COUNTIF(AE52,"S"))&gt;0),1,0)+IF(AND((COUNTIF(AF52,"I")+COUNTIF(AF52,"AA")+COUNTIF(AF52,"S"))&gt;0,(COUNTIF(AG52,"I")+COUNTIF(AG52,"AA")+COUNTIF(AG52,"S"))&gt;0),1,0)+IF(AND((COUNTIF(AH52,"I")+COUNTIF(AH52,"AA")+COUNTIF(AH52,"S"))&gt;0,(COUNTIF(AI52,"I")+COUNTIF(AI52,"AA")+COUNTIF(AI52,"S"))&gt;0),1,0)+IF(AND((COUNTIF(AK52,"I")+COUNTIF(AK52,"AA")+COUNTIF(AK52,"S"))&gt;0,(COUNTIF(AL52,"I")+COUNTIF(AL52,"AA")+COUNTIF(AL52,"S"))&gt;0),1,0)+IF(AND((COUNTIF(AM52,"I")+COUNTIF(AM52,"AA")+COUNTIF(AM52,"S"))&gt;0,(COUNTIF(AN52,"I")+COUNTIF(AN52,"AA")+COUNTIF(AN52,"S"))&gt;0),1,0)+IF(AND((COUNTIF(AP52,"I")+COUNTIF(AP52,"AA")+COUNTIF(AP52,"S"))&gt;0,(COUNTIF(AQ52,"I")+COUNTIF(AQ52,"AA")+COUNTIF(AQ52,"S"))&gt;0),1,0)+IF(AND((COUNTIF(AR52,"I")+COUNTIF(AR52,"AA")+COUNTIF(AR52,"S"))&gt;0,(COUNTIF(AS52,"I")+COUNTIF(AS52,"AA")+COUNTIF(AS52,"S"))&gt;0),1,0)</f>
        <v>0</v>
      </c>
      <c r="L52" s="22"/>
      <c r="M52" s="24"/>
      <c r="N52" s="34" t="s">
        <v>284</v>
      </c>
      <c r="O52" s="24"/>
      <c r="P52" s="24"/>
      <c r="Q52" s="34" t="s">
        <v>24</v>
      </c>
      <c r="R52" s="24"/>
      <c r="S52" s="34" t="s">
        <v>24</v>
      </c>
      <c r="T52" s="34" t="s">
        <v>284</v>
      </c>
      <c r="U52" s="24"/>
      <c r="V52" s="24"/>
      <c r="W52" s="24"/>
      <c r="X52" s="34" t="s">
        <v>285</v>
      </c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34" t="s">
        <v>285</v>
      </c>
      <c r="AK52" s="24"/>
      <c r="AL52" s="34" t="s">
        <v>24</v>
      </c>
      <c r="AM52" s="24"/>
      <c r="AN52" s="24"/>
      <c r="AO52" s="34" t="s">
        <v>24</v>
      </c>
      <c r="AP52" s="24"/>
      <c r="AQ52" s="24"/>
      <c r="AR52" s="34" t="s">
        <v>285</v>
      </c>
      <c r="AS52" s="24"/>
      <c r="AT52" s="34" t="s">
        <v>285</v>
      </c>
    </row>
    <row r="53" spans="1:46" x14ac:dyDescent="0.3">
      <c r="A53" s="4" t="s">
        <v>270</v>
      </c>
      <c r="B53" s="4" t="s">
        <v>274</v>
      </c>
      <c r="C53" s="4"/>
      <c r="D53" s="29">
        <f>COUNTIF(M53:AT53,"I")</f>
        <v>4</v>
      </c>
      <c r="E53" s="29">
        <f>COUNTIF(M53:AT53,"AA")</f>
        <v>4</v>
      </c>
      <c r="F53" s="29">
        <f>D53+E53</f>
        <v>8</v>
      </c>
      <c r="G53" s="29">
        <f>COUNTIF(M53:AT53,"S")</f>
        <v>2</v>
      </c>
      <c r="H53" s="29">
        <f>IF(M53="I",180,0)+IF(N53="I",90,0)+IF(O53="I",180,0)+IF(P53="I",180,0)+IF(Q53="I",180,0)+IF(R53="I",90,0)+IF(S53="I",180,0)+IF(T53="I",105,0)+IF(U53="I",180,0)+IF(V53="I",180,0)+IF(W53="I",120,0)+IF(X53="I",120,0)+IF(Y53="I",180,0)+IF(Z53="I",180,0)+IF(AA53="I",120,0)+IF(AB53="I",180,0)+IF(AC53="I",120,0)+IF(AD53="I",150,0)+IF(AE53="I",180,0)+IF(AF53="I",180,0)+IF(AG53="I",120,0)+IF(AH53="I",120,0)+IF(AI53="I",180,0)+IF(AJ53="I",120,0)+IF(AK53="I",180,0)+IF(AL53="I",150,0)+IF(AM53="I",180,0)+IF(AN53="I",60,0)+IF(AO53="I",180,0)+IF(AP53="I",180,0)+IF(AQ53="I",180,0)+IF(AR53="I",195,0)+IF(AS53="I",60,0)+IF(AT53="I",60,0)+IF(M53="AA",225,0)+IF(N53="AA",115,0)+IF(O53="AA",225,0)+IF(P53="AA",225,0)+IF(Q53="AA",225,0)+IF(R53="AA",115,0)+IF(S53="AA",225,0)+IF(T53="AA",135,0)+IF(U53="AA",225,0)+IF(V53="AA",225,0)+IF(W53="AA",150,0)+IF(X53="AA",150,0)+IF(Y53="AA",225,0)+IF(Z53="AA",225,0)+IF(AA53="AA",150,0)+IF(AB53="AA",225,0)+IF(AC53="AA",150,0)+IF(AD53="AA",190,0)+IF(AE53="AA",225,0)+IF(AF53="AA",225,0)+IF(AG53="AA",150,0)+IF(AH53="AA",150,0)+IF(AI53="AA",225,0)+IF(AJ53="AA",150,0)+IF(AK53="AA",225,0)+IF(AL53="AA",190,0)+IF(AM53="AA",225,0)+IF(AN53="AA",75,0)+IF(AO53="AA",225,0)+IF(AP53="AA",225,0)+IF(AQ53="AA",225,0)+IF(AR53="AA",245,0)+IF(AS53="AA",75,0)+IF(AT53="AA",75,0)</f>
        <v>1360</v>
      </c>
      <c r="I53" s="29">
        <f>COUNTIF(M53,"I")+COUNTIF(M53,"AA")+COUNTIF(M53,"S")+COUNTIF(N53,"I")+COUNTIF(N53,"AA")+COUNTIF(N53,"S")+COUNTIF(P53,"I")+COUNTIF(P53,"AA")+COUNTIF(P53,"S")+COUNTIF(R53,"I")+COUNTIF(R53,"AA")+COUNTIF(R53,"S")+COUNTIF(T53,"I")+COUNTIF(T53,"AA")+COUNTIF(T53,"S")+COUNTIF(V53,"I")+COUNTIF(V53,"AA")+COUNTIF(V53,"S")+COUNTIF(Y53,"I")+COUNTIF(Y53,"AA")+COUNTIF(Y53,"S")+COUNTIF(AA53,"I")+COUNTIF(AA53,"AA")+COUNTIF(AA53,"S")+COUNTIF(AC53,"I")+COUNTIF(AC53,"AA")+COUNTIF(AC53,"S")+COUNTIF(AD53,"I")+COUNTIF(AD53,"AA")+COUNTIF(AD53,"S")+COUNTIF(AF53,"I")+COUNTIF(AF53,"AA")+COUNTIF(AF53,"S")+COUNTIF(AH53,"I")+COUNTIF(AH53,"AA")+COUNTIF(AH53,"S")+COUNTIF(AK53,"I")+COUNTIF(AK53,"AA")+COUNTIF(AK53,"S")+COUNTIF(AM53,"I")+COUNTIF(AM53,"AA")+COUNTIF(AM53,"S")+COUNTIF(AP53,"I")+COUNTIF(AP53,"AA")+COUNTIF(AP53,"S")+COUNTIF(AR53,"I")+COUNTIF(AR53,"AA")+COUNTIF(AR53,"S")+COUNTIF(AT53,"I")+COUNTIF(AT53,"AA")+COUNTIF(AT53,"S")</f>
        <v>3</v>
      </c>
      <c r="J53" s="29">
        <f>COUNTIF(O53,"I")+COUNTIF(O53,"AA")+COUNTIF(O53,"S")+COUNTIF(Q53,"I")+COUNTIF(Q53,"AA")+COUNTIF(Q53,"S")+COUNTIF(S53,"I")+COUNTIF(S53,"AA")+COUNTIF(S53,"S")+COUNTIF(U53,"I")+COUNTIF(U53,"AA")+COUNTIF(U53,"S")+COUNTIF(W53,"I")+COUNTIF(W53,"AA")+COUNTIF(W53,"S")+COUNTIF(X53,"I")+COUNTIF(X53,"AA")+COUNTIF(X53,"S")+COUNTIF(Z53,"I")+COUNTIF(Z53,"AA")+COUNTIF(Z53,"S")+COUNTIF(AB53,"I")+COUNTIF(AB53,"AA")+COUNTIF(AB53,"S")+COUNTIF(AE53,"I")+COUNTIF(AE53,"AA")+COUNTIF(AE53,"S")+COUNTIF(AG53,"I")+COUNTIF(AG53,"AA")+COUNTIF(AG53,"S")+COUNTIF(AI53,"I")+COUNTIF(AI53,"AA")+COUNTIF(AI53,"S")+COUNTIF(AJ53,"I")+COUNTIF(AJ53,"AA")+COUNTIF(AJ53,"S")+COUNTIF(AL53,"I")+COUNTIF(AL53,"AA")+COUNTIF(AL53,"S")+COUNTIF(AN53,"I")+COUNTIF(AN53,"AA")+COUNTIF(AN53,"S")+COUNTIF(AO53,"I")+COUNTIF(AO53,"AA")+COUNTIF(AO53,"S")+COUNTIF(AQ53,"I")+COUNTIF(AQ53,"AA")+COUNTIF(AQ53,"S")+COUNTIF(AS53,"I")+COUNTIF(AS53,"AA")+COUNTIF(AS53,"S")</f>
        <v>7</v>
      </c>
      <c r="K53" s="29">
        <f>IF(AND((COUNTIF(N53,"I")+COUNTIF(N53,"AA")+COUNTIF(N53,"S"))&gt;0,(COUNTIF(O53,"I")+COUNTIF(O53,"AA")+COUNTIF(O53,"S"))&gt;0),1,0)+IF(AND((COUNTIF(P53,"I")+COUNTIF(P53,"AA")+COUNTIF(P53,"S"))&gt;0,(COUNTIF(Q53,"I")+COUNTIF(Q53,"AA")+COUNTIF(Q53,"S"))&gt;0),1,0)+IF(AND((COUNTIF(R53,"I")+COUNTIF(R53,"AA")+COUNTIF(R53,"S"))&gt;0,(COUNTIF(S53,"I")+COUNTIF(S53,"AA")+COUNTIF(S53,"S"))&gt;0),1,0)+IF(AND((COUNTIF(T53,"I")+COUNTIF(T53,"AA")+COUNTIF(T53,"S"))&gt;0,(COUNTIF(U53,"I")+COUNTIF(U53,"AA")+COUNTIF(U53,"S"))&gt;0),1,0)+IF(AND((COUNTIF(V53,"I")+COUNTIF(V53,"AA")+COUNTIF(V53,"S"))&gt;0,(COUNTIF(W53,"I")+COUNTIF(W53,"AA")+COUNTIF(W53,"S"))&gt;0),1,0)+IF(AND((COUNTIF(Y53,"I")+COUNTIF(Y53,"AA")+COUNTIF(Y53,"S"))&gt;0,(COUNTIF(Z53,"I")+COUNTIF(Z53,"AA")+COUNTIF(Z53,"S"))&gt;0),1,0)+IF(AND((COUNTIF(AA53,"I")+COUNTIF(AA53,"AA")+COUNTIF(AA53,"S"))&gt;0,(COUNTIF(AB53,"I")+COUNTIF(AB53,"AA")+COUNTIF(AB53,"S"))&gt;0),1,0)+IF(AND((COUNTIF(AD53,"I")+COUNTIF(AD53,"AA")+COUNTIF(AD53,"S"))&gt;0,(COUNTIF(AE53,"I")+COUNTIF(AE53,"AA")+COUNTIF(AE53,"S"))&gt;0),1,0)+IF(AND((COUNTIF(AF53,"I")+COUNTIF(AF53,"AA")+COUNTIF(AF53,"S"))&gt;0,(COUNTIF(AG53,"I")+COUNTIF(AG53,"AA")+COUNTIF(AG53,"S"))&gt;0),1,0)+IF(AND((COUNTIF(AH53,"I")+COUNTIF(AH53,"AA")+COUNTIF(AH53,"S"))&gt;0,(COUNTIF(AI53,"I")+COUNTIF(AI53,"AA")+COUNTIF(AI53,"S"))&gt;0),1,0)+IF(AND((COUNTIF(AK53,"I")+COUNTIF(AK53,"AA")+COUNTIF(AK53,"S"))&gt;0,(COUNTIF(AL53,"I")+COUNTIF(AL53,"AA")+COUNTIF(AL53,"S"))&gt;0),1,0)+IF(AND((COUNTIF(AM53,"I")+COUNTIF(AM53,"AA")+COUNTIF(AM53,"S"))&gt;0,(COUNTIF(AN53,"I")+COUNTIF(AN53,"AA")+COUNTIF(AN53,"S"))&gt;0),1,0)+IF(AND((COUNTIF(AP53,"I")+COUNTIF(AP53,"AA")+COUNTIF(AP53,"S"))&gt;0,(COUNTIF(AQ53,"I")+COUNTIF(AQ53,"AA")+COUNTIF(AQ53,"S"))&gt;0),1,0)+IF(AND((COUNTIF(AR53,"I")+COUNTIF(AR53,"AA")+COUNTIF(AR53,"S"))&gt;0,(COUNTIF(AS53,"I")+COUNTIF(AS53,"AA")+COUNTIF(AS53,"S"))&gt;0),1,0)</f>
        <v>0</v>
      </c>
      <c r="L53" s="22"/>
      <c r="M53" s="24"/>
      <c r="N53" s="24"/>
      <c r="O53" s="24"/>
      <c r="P53" s="24"/>
      <c r="Q53" s="34" t="s">
        <v>24</v>
      </c>
      <c r="R53" s="24"/>
      <c r="S53" s="34" t="s">
        <v>24</v>
      </c>
      <c r="T53" s="34" t="s">
        <v>284</v>
      </c>
      <c r="U53" s="24"/>
      <c r="V53" s="24"/>
      <c r="W53" s="24"/>
      <c r="X53" s="34" t="s">
        <v>285</v>
      </c>
      <c r="Y53" s="24"/>
      <c r="Z53" s="24"/>
      <c r="AA53" s="24"/>
      <c r="AB53" s="24"/>
      <c r="AC53" s="24"/>
      <c r="AD53" s="24"/>
      <c r="AE53" s="34" t="s">
        <v>284</v>
      </c>
      <c r="AF53" s="24"/>
      <c r="AG53" s="24"/>
      <c r="AH53" s="24"/>
      <c r="AI53" s="24"/>
      <c r="AJ53" s="34" t="s">
        <v>285</v>
      </c>
      <c r="AK53" s="24"/>
      <c r="AL53" s="34" t="s">
        <v>24</v>
      </c>
      <c r="AM53" s="24"/>
      <c r="AN53" s="24"/>
      <c r="AO53" s="34" t="s">
        <v>24</v>
      </c>
      <c r="AP53" s="24"/>
      <c r="AQ53" s="24"/>
      <c r="AR53" s="34" t="s">
        <v>285</v>
      </c>
      <c r="AS53" s="24"/>
      <c r="AT53" s="34" t="s">
        <v>285</v>
      </c>
    </row>
    <row r="54" spans="1:46" x14ac:dyDescent="0.3">
      <c r="A54" s="4" t="s">
        <v>271</v>
      </c>
      <c r="B54" s="4" t="s">
        <v>274</v>
      </c>
      <c r="C54" s="4"/>
      <c r="D54" s="29">
        <f>COUNTIF(M54:AT54,"I")</f>
        <v>6</v>
      </c>
      <c r="E54" s="29">
        <f>COUNTIF(M54:AT54,"AA")</f>
        <v>3</v>
      </c>
      <c r="F54" s="29">
        <f>D54+E54</f>
        <v>9</v>
      </c>
      <c r="G54" s="29">
        <f>COUNTIF(M54:AT54,"S")</f>
        <v>2</v>
      </c>
      <c r="H54" s="29">
        <f>IF(M54="I",180,0)+IF(N54="I",90,0)+IF(O54="I",180,0)+IF(P54="I",180,0)+IF(Q54="I",180,0)+IF(R54="I",90,0)+IF(S54="I",180,0)+IF(T54="I",105,0)+IF(U54="I",180,0)+IF(V54="I",180,0)+IF(W54="I",120,0)+IF(X54="I",120,0)+IF(Y54="I",180,0)+IF(Z54="I",180,0)+IF(AA54="I",120,0)+IF(AB54="I",180,0)+IF(AC54="I",120,0)+IF(AD54="I",150,0)+IF(AE54="I",180,0)+IF(AF54="I",180,0)+IF(AG54="I",120,0)+IF(AH54="I",120,0)+IF(AI54="I",180,0)+IF(AJ54="I",120,0)+IF(AK54="I",180,0)+IF(AL54="I",150,0)+IF(AM54="I",180,0)+IF(AN54="I",60,0)+IF(AO54="I",180,0)+IF(AP54="I",180,0)+IF(AQ54="I",180,0)+IF(AR54="I",195,0)+IF(AS54="I",60,0)+IF(AT54="I",60,0)+IF(M54="AA",225,0)+IF(N54="AA",115,0)+IF(O54="AA",225,0)+IF(P54="AA",225,0)+IF(Q54="AA",225,0)+IF(R54="AA",115,0)+IF(S54="AA",225,0)+IF(T54="AA",135,0)+IF(U54="AA",225,0)+IF(V54="AA",225,0)+IF(W54="AA",150,0)+IF(X54="AA",150,0)+IF(Y54="AA",225,0)+IF(Z54="AA",225,0)+IF(AA54="AA",150,0)+IF(AB54="AA",225,0)+IF(AC54="AA",150,0)+IF(AD54="AA",190,0)+IF(AE54="AA",225,0)+IF(AF54="AA",225,0)+IF(AG54="AA",150,0)+IF(AH54="AA",150,0)+IF(AI54="AA",225,0)+IF(AJ54="AA",150,0)+IF(AK54="AA",225,0)+IF(AL54="AA",190,0)+IF(AM54="AA",225,0)+IF(AN54="AA",75,0)+IF(AO54="AA",225,0)+IF(AP54="AA",225,0)+IF(AQ54="AA",225,0)+IF(AR54="AA",245,0)+IF(AS54="AA",75,0)+IF(AT54="AA",75,0)</f>
        <v>1320</v>
      </c>
      <c r="I54" s="29">
        <f>COUNTIF(M54,"I")+COUNTIF(M54,"AA")+COUNTIF(M54,"S")+COUNTIF(N54,"I")+COUNTIF(N54,"AA")+COUNTIF(N54,"S")+COUNTIF(P54,"I")+COUNTIF(P54,"AA")+COUNTIF(P54,"S")+COUNTIF(R54,"I")+COUNTIF(R54,"AA")+COUNTIF(R54,"S")+COUNTIF(T54,"I")+COUNTIF(T54,"AA")+COUNTIF(T54,"S")+COUNTIF(V54,"I")+COUNTIF(V54,"AA")+COUNTIF(V54,"S")+COUNTIF(Y54,"I")+COUNTIF(Y54,"AA")+COUNTIF(Y54,"S")+COUNTIF(AA54,"I")+COUNTIF(AA54,"AA")+COUNTIF(AA54,"S")+COUNTIF(AC54,"I")+COUNTIF(AC54,"AA")+COUNTIF(AC54,"S")+COUNTIF(AD54,"I")+COUNTIF(AD54,"AA")+COUNTIF(AD54,"S")+COUNTIF(AF54,"I")+COUNTIF(AF54,"AA")+COUNTIF(AF54,"S")+COUNTIF(AH54,"I")+COUNTIF(AH54,"AA")+COUNTIF(AH54,"S")+COUNTIF(AK54,"I")+COUNTIF(AK54,"AA")+COUNTIF(AK54,"S")+COUNTIF(AM54,"I")+COUNTIF(AM54,"AA")+COUNTIF(AM54,"S")+COUNTIF(AP54,"I")+COUNTIF(AP54,"AA")+COUNTIF(AP54,"S")+COUNTIF(AR54,"I")+COUNTIF(AR54,"AA")+COUNTIF(AR54,"S")+COUNTIF(AT54,"I")+COUNTIF(AT54,"AA")+COUNTIF(AT54,"S")</f>
        <v>6</v>
      </c>
      <c r="J54" s="29">
        <f>COUNTIF(O54,"I")+COUNTIF(O54,"AA")+COUNTIF(O54,"S")+COUNTIF(Q54,"I")+COUNTIF(Q54,"AA")+COUNTIF(Q54,"S")+COUNTIF(S54,"I")+COUNTIF(S54,"AA")+COUNTIF(S54,"S")+COUNTIF(U54,"I")+COUNTIF(U54,"AA")+COUNTIF(U54,"S")+COUNTIF(W54,"I")+COUNTIF(W54,"AA")+COUNTIF(W54,"S")+COUNTIF(X54,"I")+COUNTIF(X54,"AA")+COUNTIF(X54,"S")+COUNTIF(Z54,"I")+COUNTIF(Z54,"AA")+COUNTIF(Z54,"S")+COUNTIF(AB54,"I")+COUNTIF(AB54,"AA")+COUNTIF(AB54,"S")+COUNTIF(AE54,"I")+COUNTIF(AE54,"AA")+COUNTIF(AE54,"S")+COUNTIF(AG54,"I")+COUNTIF(AG54,"AA")+COUNTIF(AG54,"S")+COUNTIF(AI54,"I")+COUNTIF(AI54,"AA")+COUNTIF(AI54,"S")+COUNTIF(AJ54,"I")+COUNTIF(AJ54,"AA")+COUNTIF(AJ54,"S")+COUNTIF(AL54,"I")+COUNTIF(AL54,"AA")+COUNTIF(AL54,"S")+COUNTIF(AN54,"I")+COUNTIF(AN54,"AA")+COUNTIF(AN54,"S")+COUNTIF(AO54,"I")+COUNTIF(AO54,"AA")+COUNTIF(AO54,"S")+COUNTIF(AQ54,"I")+COUNTIF(AQ54,"AA")+COUNTIF(AQ54,"S")+COUNTIF(AS54,"I")+COUNTIF(AS54,"AA")+COUNTIF(AS54,"S")</f>
        <v>5</v>
      </c>
      <c r="K54" s="29">
        <f>IF(AND((COUNTIF(N54,"I")+COUNTIF(N54,"AA")+COUNTIF(N54,"S"))&gt;0,(COUNTIF(O54,"I")+COUNTIF(O54,"AA")+COUNTIF(O54,"S"))&gt;0),1,0)+IF(AND((COUNTIF(P54,"I")+COUNTIF(P54,"AA")+COUNTIF(P54,"S"))&gt;0,(COUNTIF(Q54,"I")+COUNTIF(Q54,"AA")+COUNTIF(Q54,"S"))&gt;0),1,0)+IF(AND((COUNTIF(R54,"I")+COUNTIF(R54,"AA")+COUNTIF(R54,"S"))&gt;0,(COUNTIF(S54,"I")+COUNTIF(S54,"AA")+COUNTIF(S54,"S"))&gt;0),1,0)+IF(AND((COUNTIF(T54,"I")+COUNTIF(T54,"AA")+COUNTIF(T54,"S"))&gt;0,(COUNTIF(U54,"I")+COUNTIF(U54,"AA")+COUNTIF(U54,"S"))&gt;0),1,0)+IF(AND((COUNTIF(V54,"I")+COUNTIF(V54,"AA")+COUNTIF(V54,"S"))&gt;0,(COUNTIF(W54,"I")+COUNTIF(W54,"AA")+COUNTIF(W54,"S"))&gt;0),1,0)+IF(AND((COUNTIF(Y54,"I")+COUNTIF(Y54,"AA")+COUNTIF(Y54,"S"))&gt;0,(COUNTIF(Z54,"I")+COUNTIF(Z54,"AA")+COUNTIF(Z54,"S"))&gt;0),1,0)+IF(AND((COUNTIF(AA54,"I")+COUNTIF(AA54,"AA")+COUNTIF(AA54,"S"))&gt;0,(COUNTIF(AB54,"I")+COUNTIF(AB54,"AA")+COUNTIF(AB54,"S"))&gt;0),1,0)+IF(AND((COUNTIF(AD54,"I")+COUNTIF(AD54,"AA")+COUNTIF(AD54,"S"))&gt;0,(COUNTIF(AE54,"I")+COUNTIF(AE54,"AA")+COUNTIF(AE54,"S"))&gt;0),1,0)+IF(AND((COUNTIF(AF54,"I")+COUNTIF(AF54,"AA")+COUNTIF(AF54,"S"))&gt;0,(COUNTIF(AG54,"I")+COUNTIF(AG54,"AA")+COUNTIF(AG54,"S"))&gt;0),1,0)+IF(AND((COUNTIF(AH54,"I")+COUNTIF(AH54,"AA")+COUNTIF(AH54,"S"))&gt;0,(COUNTIF(AI54,"I")+COUNTIF(AI54,"AA")+COUNTIF(AI54,"S"))&gt;0),1,0)+IF(AND((COUNTIF(AK54,"I")+COUNTIF(AK54,"AA")+COUNTIF(AK54,"S"))&gt;0,(COUNTIF(AL54,"I")+COUNTIF(AL54,"AA")+COUNTIF(AL54,"S"))&gt;0),1,0)+IF(AND((COUNTIF(AM54,"I")+COUNTIF(AM54,"AA")+COUNTIF(AM54,"S"))&gt;0,(COUNTIF(AN54,"I")+COUNTIF(AN54,"AA")+COUNTIF(AN54,"S"))&gt;0),1,0)+IF(AND((COUNTIF(AP54,"I")+COUNTIF(AP54,"AA")+COUNTIF(AP54,"S"))&gt;0,(COUNTIF(AQ54,"I")+COUNTIF(AQ54,"AA")+COUNTIF(AQ54,"S"))&gt;0),1,0)+IF(AND((COUNTIF(AR54,"I")+COUNTIF(AR54,"AA")+COUNTIF(AR54,"S"))&gt;0,(COUNTIF(AS54,"I")+COUNTIF(AS54,"AA")+COUNTIF(AS54,"S"))&gt;0),1,0)</f>
        <v>0</v>
      </c>
      <c r="L54" s="22"/>
      <c r="M54" s="34" t="s">
        <v>285</v>
      </c>
      <c r="N54" s="34" t="s">
        <v>285</v>
      </c>
      <c r="O54" s="24"/>
      <c r="P54" s="34" t="s">
        <v>285</v>
      </c>
      <c r="Q54" s="24"/>
      <c r="R54" s="24"/>
      <c r="S54" s="34" t="s">
        <v>24</v>
      </c>
      <c r="T54" s="34" t="s">
        <v>285</v>
      </c>
      <c r="U54" s="24"/>
      <c r="V54" s="24"/>
      <c r="W54" s="24"/>
      <c r="X54" s="34" t="s">
        <v>285</v>
      </c>
      <c r="Y54" s="24"/>
      <c r="Z54" s="24"/>
      <c r="AA54" s="34" t="s">
        <v>285</v>
      </c>
      <c r="AB54" s="24"/>
      <c r="AC54" s="24"/>
      <c r="AD54" s="24"/>
      <c r="AE54" s="34" t="s">
        <v>284</v>
      </c>
      <c r="AF54" s="24"/>
      <c r="AG54" s="24"/>
      <c r="AH54" s="24"/>
      <c r="AI54" s="34" t="s">
        <v>284</v>
      </c>
      <c r="AJ54" s="24"/>
      <c r="AK54" s="24"/>
      <c r="AL54" s="24"/>
      <c r="AM54" s="24"/>
      <c r="AN54" s="24"/>
      <c r="AO54" s="24"/>
      <c r="AP54" s="24"/>
      <c r="AQ54" s="34" t="s">
        <v>24</v>
      </c>
      <c r="AR54" s="24"/>
      <c r="AS54" s="24"/>
      <c r="AT54" s="34" t="s">
        <v>24</v>
      </c>
    </row>
    <row r="55" spans="1:46" x14ac:dyDescent="0.3">
      <c r="A55" s="4" t="s">
        <v>272</v>
      </c>
      <c r="B55" s="4" t="s">
        <v>274</v>
      </c>
      <c r="C55" s="4"/>
      <c r="D55" s="29">
        <f>COUNTIF(M55:AT55,"I")</f>
        <v>5</v>
      </c>
      <c r="E55" s="29">
        <f>COUNTIF(M55:AT55,"AA")</f>
        <v>3</v>
      </c>
      <c r="F55" s="29">
        <f>D55+E55</f>
        <v>8</v>
      </c>
      <c r="G55" s="29">
        <f>COUNTIF(M55:AT55,"S")</f>
        <v>2</v>
      </c>
      <c r="H55" s="29">
        <f>IF(M55="I",180,0)+IF(N55="I",90,0)+IF(O55="I",180,0)+IF(P55="I",180,0)+IF(Q55="I",180,0)+IF(R55="I",90,0)+IF(S55="I",180,0)+IF(T55="I",105,0)+IF(U55="I",180,0)+IF(V55="I",180,0)+IF(W55="I",120,0)+IF(X55="I",120,0)+IF(Y55="I",180,0)+IF(Z55="I",180,0)+IF(AA55="I",120,0)+IF(AB55="I",180,0)+IF(AC55="I",120,0)+IF(AD55="I",150,0)+IF(AE55="I",180,0)+IF(AF55="I",180,0)+IF(AG55="I",120,0)+IF(AH55="I",120,0)+IF(AI55="I",180,0)+IF(AJ55="I",120,0)+IF(AK55="I",180,0)+IF(AL55="I",150,0)+IF(AM55="I",180,0)+IF(AN55="I",60,0)+IF(AO55="I",180,0)+IF(AP55="I",180,0)+IF(AQ55="I",180,0)+IF(AR55="I",195,0)+IF(AS55="I",60,0)+IF(AT55="I",60,0)+IF(M55="AA",225,0)+IF(N55="AA",115,0)+IF(O55="AA",225,0)+IF(P55="AA",225,0)+IF(Q55="AA",225,0)+IF(R55="AA",115,0)+IF(S55="AA",225,0)+IF(T55="AA",135,0)+IF(U55="AA",225,0)+IF(V55="AA",225,0)+IF(W55="AA",150,0)+IF(X55="AA",150,0)+IF(Y55="AA",225,0)+IF(Z55="AA",225,0)+IF(AA55="AA",150,0)+IF(AB55="AA",225,0)+IF(AC55="AA",150,0)+IF(AD55="AA",190,0)+IF(AE55="AA",225,0)+IF(AF55="AA",225,0)+IF(AG55="AA",150,0)+IF(AH55="AA",150,0)+IF(AI55="AA",225,0)+IF(AJ55="AA",150,0)+IF(AK55="AA",225,0)+IF(AL55="AA",190,0)+IF(AM55="AA",225,0)+IF(AN55="AA",75,0)+IF(AO55="AA",225,0)+IF(AP55="AA",225,0)+IF(AQ55="AA",225,0)+IF(AR55="AA",245,0)+IF(AS55="AA",75,0)+IF(AT55="AA",75,0)</f>
        <v>1230</v>
      </c>
      <c r="I55" s="29">
        <f>COUNTIF(M55,"I")+COUNTIF(M55,"AA")+COUNTIF(M55,"S")+COUNTIF(N55,"I")+COUNTIF(N55,"AA")+COUNTIF(N55,"S")+COUNTIF(P55,"I")+COUNTIF(P55,"AA")+COUNTIF(P55,"S")+COUNTIF(R55,"I")+COUNTIF(R55,"AA")+COUNTIF(R55,"S")+COUNTIF(T55,"I")+COUNTIF(T55,"AA")+COUNTIF(T55,"S")+COUNTIF(V55,"I")+COUNTIF(V55,"AA")+COUNTIF(V55,"S")+COUNTIF(Y55,"I")+COUNTIF(Y55,"AA")+COUNTIF(Y55,"S")+COUNTIF(AA55,"I")+COUNTIF(AA55,"AA")+COUNTIF(AA55,"S")+COUNTIF(AC55,"I")+COUNTIF(AC55,"AA")+COUNTIF(AC55,"S")+COUNTIF(AD55,"I")+COUNTIF(AD55,"AA")+COUNTIF(AD55,"S")+COUNTIF(AF55,"I")+COUNTIF(AF55,"AA")+COUNTIF(AF55,"S")+COUNTIF(AH55,"I")+COUNTIF(AH55,"AA")+COUNTIF(AH55,"S")+COUNTIF(AK55,"I")+COUNTIF(AK55,"AA")+COUNTIF(AK55,"S")+COUNTIF(AM55,"I")+COUNTIF(AM55,"AA")+COUNTIF(AM55,"S")+COUNTIF(AP55,"I")+COUNTIF(AP55,"AA")+COUNTIF(AP55,"S")+COUNTIF(AR55,"I")+COUNTIF(AR55,"AA")+COUNTIF(AR55,"S")+COUNTIF(AT55,"I")+COUNTIF(AT55,"AA")+COUNTIF(AT55,"S")</f>
        <v>7</v>
      </c>
      <c r="J55" s="29">
        <f>COUNTIF(O55,"I")+COUNTIF(O55,"AA")+COUNTIF(O55,"S")+COUNTIF(Q55,"I")+COUNTIF(Q55,"AA")+COUNTIF(Q55,"S")+COUNTIF(S55,"I")+COUNTIF(S55,"AA")+COUNTIF(S55,"S")+COUNTIF(U55,"I")+COUNTIF(U55,"AA")+COUNTIF(U55,"S")+COUNTIF(W55,"I")+COUNTIF(W55,"AA")+COUNTIF(W55,"S")+COUNTIF(X55,"I")+COUNTIF(X55,"AA")+COUNTIF(X55,"S")+COUNTIF(Z55,"I")+COUNTIF(Z55,"AA")+COUNTIF(Z55,"S")+COUNTIF(AB55,"I")+COUNTIF(AB55,"AA")+COUNTIF(AB55,"S")+COUNTIF(AE55,"I")+COUNTIF(AE55,"AA")+COUNTIF(AE55,"S")+COUNTIF(AG55,"I")+COUNTIF(AG55,"AA")+COUNTIF(AG55,"S")+COUNTIF(AI55,"I")+COUNTIF(AI55,"AA")+COUNTIF(AI55,"S")+COUNTIF(AJ55,"I")+COUNTIF(AJ55,"AA")+COUNTIF(AJ55,"S")+COUNTIF(AL55,"I")+COUNTIF(AL55,"AA")+COUNTIF(AL55,"S")+COUNTIF(AN55,"I")+COUNTIF(AN55,"AA")+COUNTIF(AN55,"S")+COUNTIF(AO55,"I")+COUNTIF(AO55,"AA")+COUNTIF(AO55,"S")+COUNTIF(AQ55,"I")+COUNTIF(AQ55,"AA")+COUNTIF(AQ55,"S")+COUNTIF(AS55,"I")+COUNTIF(AS55,"AA")+COUNTIF(AS55,"S")</f>
        <v>3</v>
      </c>
      <c r="K55" s="29">
        <f>IF(AND((COUNTIF(N55,"I")+COUNTIF(N55,"AA")+COUNTIF(N55,"S"))&gt;0,(COUNTIF(O55,"I")+COUNTIF(O55,"AA")+COUNTIF(O55,"S"))&gt;0),1,0)+IF(AND((COUNTIF(P55,"I")+COUNTIF(P55,"AA")+COUNTIF(P55,"S"))&gt;0,(COUNTIF(Q55,"I")+COUNTIF(Q55,"AA")+COUNTIF(Q55,"S"))&gt;0),1,0)+IF(AND((COUNTIF(R55,"I")+COUNTIF(R55,"AA")+COUNTIF(R55,"S"))&gt;0,(COUNTIF(S55,"I")+COUNTIF(S55,"AA")+COUNTIF(S55,"S"))&gt;0),1,0)+IF(AND((COUNTIF(T55,"I")+COUNTIF(T55,"AA")+COUNTIF(T55,"S"))&gt;0,(COUNTIF(U55,"I")+COUNTIF(U55,"AA")+COUNTIF(U55,"S"))&gt;0),1,0)+IF(AND((COUNTIF(V55,"I")+COUNTIF(V55,"AA")+COUNTIF(V55,"S"))&gt;0,(COUNTIF(W55,"I")+COUNTIF(W55,"AA")+COUNTIF(W55,"S"))&gt;0),1,0)+IF(AND((COUNTIF(Y55,"I")+COUNTIF(Y55,"AA")+COUNTIF(Y55,"S"))&gt;0,(COUNTIF(Z55,"I")+COUNTIF(Z55,"AA")+COUNTIF(Z55,"S"))&gt;0),1,0)+IF(AND((COUNTIF(AA55,"I")+COUNTIF(AA55,"AA")+COUNTIF(AA55,"S"))&gt;0,(COUNTIF(AB55,"I")+COUNTIF(AB55,"AA")+COUNTIF(AB55,"S"))&gt;0),1,0)+IF(AND((COUNTIF(AD55,"I")+COUNTIF(AD55,"AA")+COUNTIF(AD55,"S"))&gt;0,(COUNTIF(AE55,"I")+COUNTIF(AE55,"AA")+COUNTIF(AE55,"S"))&gt;0),1,0)+IF(AND((COUNTIF(AF55,"I")+COUNTIF(AF55,"AA")+COUNTIF(AF55,"S"))&gt;0,(COUNTIF(AG55,"I")+COUNTIF(AG55,"AA")+COUNTIF(AG55,"S"))&gt;0),1,0)+IF(AND((COUNTIF(AH55,"I")+COUNTIF(AH55,"AA")+COUNTIF(AH55,"S"))&gt;0,(COUNTIF(AI55,"I")+COUNTIF(AI55,"AA")+COUNTIF(AI55,"S"))&gt;0),1,0)+IF(AND((COUNTIF(AK55,"I")+COUNTIF(AK55,"AA")+COUNTIF(AK55,"S"))&gt;0,(COUNTIF(AL55,"I")+COUNTIF(AL55,"AA")+COUNTIF(AL55,"S"))&gt;0),1,0)+IF(AND((COUNTIF(AM55,"I")+COUNTIF(AM55,"AA")+COUNTIF(AM55,"S"))&gt;0,(COUNTIF(AN55,"I")+COUNTIF(AN55,"AA")+COUNTIF(AN55,"S"))&gt;0),1,0)+IF(AND((COUNTIF(AP55,"I")+COUNTIF(AP55,"AA")+COUNTIF(AP55,"S"))&gt;0,(COUNTIF(AQ55,"I")+COUNTIF(AQ55,"AA")+COUNTIF(AQ55,"S"))&gt;0),1,0)+IF(AND((COUNTIF(AR55,"I")+COUNTIF(AR55,"AA")+COUNTIF(AR55,"S"))&gt;0,(COUNTIF(AS55,"I")+COUNTIF(AS55,"AA")+COUNTIF(AS55,"S"))&gt;0),1,0)</f>
        <v>0</v>
      </c>
      <c r="L55" s="22"/>
      <c r="M55" s="24"/>
      <c r="N55" s="24"/>
      <c r="O55" s="24"/>
      <c r="P55" s="34" t="s">
        <v>285</v>
      </c>
      <c r="Q55" s="24"/>
      <c r="R55" s="24"/>
      <c r="S55" s="24"/>
      <c r="T55" s="34" t="s">
        <v>285</v>
      </c>
      <c r="U55" s="24"/>
      <c r="V55" s="24"/>
      <c r="W55" s="34" t="s">
        <v>24</v>
      </c>
      <c r="X55" s="34" t="s">
        <v>24</v>
      </c>
      <c r="Y55" s="34" t="s">
        <v>285</v>
      </c>
      <c r="Z55" s="24"/>
      <c r="AA55" s="34" t="s">
        <v>285</v>
      </c>
      <c r="AB55" s="24"/>
      <c r="AC55" s="34" t="s">
        <v>284</v>
      </c>
      <c r="AD55" s="24"/>
      <c r="AE55" s="24"/>
      <c r="AF55" s="34" t="s">
        <v>24</v>
      </c>
      <c r="AG55" s="24"/>
      <c r="AH55" s="34" t="s">
        <v>285</v>
      </c>
      <c r="AI55" s="24"/>
      <c r="AJ55" s="24"/>
      <c r="AK55" s="24"/>
      <c r="AL55" s="24"/>
      <c r="AM55" s="24"/>
      <c r="AN55" s="34" t="s">
        <v>284</v>
      </c>
      <c r="AO55" s="24"/>
      <c r="AP55" s="24"/>
      <c r="AQ55" s="24"/>
      <c r="AR55" s="24"/>
      <c r="AS55" s="24"/>
      <c r="AT55" s="24"/>
    </row>
    <row r="57" spans="1:46" x14ac:dyDescent="0.3">
      <c r="A57" t="s">
        <v>286</v>
      </c>
      <c r="B57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AB88-39F8-4837-A44A-E7C2E229624C}">
  <dimension ref="A1:AL55"/>
  <sheetViews>
    <sheetView topLeftCell="O1" workbookViewId="0">
      <selection activeCell="C59" sqref="C59"/>
    </sheetView>
  </sheetViews>
  <sheetFormatPr defaultRowHeight="14.4" x14ac:dyDescent="0.3"/>
  <cols>
    <col min="1" max="1" width="25.44140625" customWidth="1"/>
    <col min="2" max="2" width="18.21875" customWidth="1"/>
    <col min="3" max="4" width="13.77734375" customWidth="1"/>
    <col min="5" max="38" width="18.77734375" customWidth="1"/>
  </cols>
  <sheetData>
    <row r="1" spans="1:38" ht="24" customHeight="1" x14ac:dyDescent="0.3">
      <c r="A1" s="6"/>
      <c r="B1" s="6"/>
      <c r="C1" s="6"/>
      <c r="D1" s="7" t="s">
        <v>3</v>
      </c>
      <c r="E1" s="8" t="s">
        <v>25</v>
      </c>
      <c r="F1" s="8" t="s">
        <v>36</v>
      </c>
      <c r="G1" s="8" t="s">
        <v>36</v>
      </c>
      <c r="H1" s="8" t="s">
        <v>58</v>
      </c>
      <c r="I1" s="8" t="s">
        <v>58</v>
      </c>
      <c r="J1" s="8" t="s">
        <v>69</v>
      </c>
      <c r="K1" s="8" t="s">
        <v>69</v>
      </c>
      <c r="L1" s="8" t="s">
        <v>77</v>
      </c>
      <c r="M1" s="8" t="s">
        <v>77</v>
      </c>
      <c r="N1" s="8" t="s">
        <v>104</v>
      </c>
      <c r="O1" s="8" t="s">
        <v>104</v>
      </c>
      <c r="P1" s="8" t="s">
        <v>110</v>
      </c>
      <c r="Q1" s="8" t="s">
        <v>118</v>
      </c>
      <c r="R1" s="8" t="s">
        <v>118</v>
      </c>
      <c r="S1" s="8" t="s">
        <v>123</v>
      </c>
      <c r="T1" s="8" t="s">
        <v>123</v>
      </c>
      <c r="U1" s="8" t="s">
        <v>131</v>
      </c>
      <c r="V1" s="8" t="s">
        <v>137</v>
      </c>
      <c r="W1" s="8" t="s">
        <v>137</v>
      </c>
      <c r="X1" s="8" t="s">
        <v>149</v>
      </c>
      <c r="Y1" s="8" t="s">
        <v>149</v>
      </c>
      <c r="Z1" s="8" t="s">
        <v>154</v>
      </c>
      <c r="AA1" s="8" t="s">
        <v>154</v>
      </c>
      <c r="AB1" s="8" t="s">
        <v>162</v>
      </c>
      <c r="AC1" s="8" t="s">
        <v>164</v>
      </c>
      <c r="AD1" s="8" t="s">
        <v>164</v>
      </c>
      <c r="AE1" s="8" t="s">
        <v>168</v>
      </c>
      <c r="AF1" s="8" t="s">
        <v>168</v>
      </c>
      <c r="AG1" s="8" t="s">
        <v>177</v>
      </c>
      <c r="AH1" s="8" t="s">
        <v>180</v>
      </c>
      <c r="AI1" s="8" t="s">
        <v>180</v>
      </c>
      <c r="AJ1" s="8" t="s">
        <v>184</v>
      </c>
      <c r="AK1" s="8" t="s">
        <v>184</v>
      </c>
      <c r="AL1" s="8" t="s">
        <v>195</v>
      </c>
    </row>
    <row r="2" spans="1:38" ht="24" customHeight="1" x14ac:dyDescent="0.3">
      <c r="A2" s="6"/>
      <c r="B2" s="6"/>
      <c r="C2" s="6"/>
      <c r="D2" s="7" t="s">
        <v>15</v>
      </c>
      <c r="E2" s="9" t="s">
        <v>35</v>
      </c>
      <c r="F2" s="9" t="s">
        <v>35</v>
      </c>
      <c r="G2" s="9" t="s">
        <v>48</v>
      </c>
      <c r="H2" s="9" t="s">
        <v>35</v>
      </c>
      <c r="I2" s="9" t="s">
        <v>48</v>
      </c>
      <c r="J2" s="9" t="s">
        <v>35</v>
      </c>
      <c r="K2" s="9" t="s">
        <v>48</v>
      </c>
      <c r="L2" s="9" t="s">
        <v>35</v>
      </c>
      <c r="M2" s="9" t="s">
        <v>48</v>
      </c>
      <c r="N2" s="9" t="s">
        <v>35</v>
      </c>
      <c r="O2" s="9" t="s">
        <v>48</v>
      </c>
      <c r="P2" s="9" t="s">
        <v>48</v>
      </c>
      <c r="Q2" s="9" t="s">
        <v>35</v>
      </c>
      <c r="R2" s="9" t="s">
        <v>48</v>
      </c>
      <c r="S2" s="9" t="s">
        <v>35</v>
      </c>
      <c r="T2" s="9" t="s">
        <v>48</v>
      </c>
      <c r="U2" s="9" t="s">
        <v>35</v>
      </c>
      <c r="V2" s="9" t="s">
        <v>35</v>
      </c>
      <c r="W2" s="9" t="s">
        <v>48</v>
      </c>
      <c r="X2" s="9" t="s">
        <v>35</v>
      </c>
      <c r="Y2" s="9" t="s">
        <v>48</v>
      </c>
      <c r="Z2" s="9" t="s">
        <v>35</v>
      </c>
      <c r="AA2" s="9" t="s">
        <v>48</v>
      </c>
      <c r="AB2" s="9" t="s">
        <v>48</v>
      </c>
      <c r="AC2" s="9" t="s">
        <v>35</v>
      </c>
      <c r="AD2" s="9" t="s">
        <v>48</v>
      </c>
      <c r="AE2" s="9" t="s">
        <v>35</v>
      </c>
      <c r="AF2" s="9" t="s">
        <v>48</v>
      </c>
      <c r="AG2" s="9" t="s">
        <v>48</v>
      </c>
      <c r="AH2" s="9" t="s">
        <v>35</v>
      </c>
      <c r="AI2" s="9" t="s">
        <v>48</v>
      </c>
      <c r="AJ2" s="9" t="s">
        <v>35</v>
      </c>
      <c r="AK2" s="9" t="s">
        <v>48</v>
      </c>
      <c r="AL2" s="9" t="s">
        <v>35</v>
      </c>
    </row>
    <row r="3" spans="1:38" ht="54" customHeight="1" x14ac:dyDescent="0.3">
      <c r="A3" s="6"/>
      <c r="B3" s="6"/>
      <c r="C3" s="6"/>
      <c r="D3" s="7" t="s">
        <v>200</v>
      </c>
      <c r="E3" s="9" t="s">
        <v>34</v>
      </c>
      <c r="F3" s="9" t="s">
        <v>42</v>
      </c>
      <c r="G3" s="9" t="s">
        <v>201</v>
      </c>
      <c r="H3" s="9" t="s">
        <v>202</v>
      </c>
      <c r="I3" s="9" t="s">
        <v>68</v>
      </c>
      <c r="J3" s="9" t="s">
        <v>71</v>
      </c>
      <c r="K3" s="9" t="s">
        <v>203</v>
      </c>
      <c r="L3" s="9" t="s">
        <v>204</v>
      </c>
      <c r="M3" s="9" t="s">
        <v>205</v>
      </c>
      <c r="N3" s="9" t="s">
        <v>105</v>
      </c>
      <c r="O3" s="9" t="s">
        <v>109</v>
      </c>
      <c r="P3" s="9" t="s">
        <v>206</v>
      </c>
      <c r="Q3" s="9" t="s">
        <v>119</v>
      </c>
      <c r="R3" s="9" t="s">
        <v>122</v>
      </c>
      <c r="S3" s="9" t="s">
        <v>127</v>
      </c>
      <c r="T3" s="9" t="s">
        <v>207</v>
      </c>
      <c r="U3" s="9" t="s">
        <v>208</v>
      </c>
      <c r="V3" s="9" t="s">
        <v>140</v>
      </c>
      <c r="W3" s="9" t="s">
        <v>209</v>
      </c>
      <c r="X3" s="9" t="s">
        <v>152</v>
      </c>
      <c r="Y3" s="9" t="s">
        <v>153</v>
      </c>
      <c r="Z3" s="9" t="s">
        <v>210</v>
      </c>
      <c r="AA3" s="9" t="s">
        <v>211</v>
      </c>
      <c r="AB3" s="9" t="s">
        <v>163</v>
      </c>
      <c r="AC3" s="9" t="s">
        <v>165</v>
      </c>
      <c r="AD3" s="9" t="s">
        <v>167</v>
      </c>
      <c r="AE3" s="9" t="s">
        <v>171</v>
      </c>
      <c r="AF3" s="9" t="s">
        <v>212</v>
      </c>
      <c r="AG3" s="9" t="s">
        <v>179</v>
      </c>
      <c r="AH3" s="9" t="s">
        <v>182</v>
      </c>
      <c r="AI3" s="9" t="s">
        <v>183</v>
      </c>
      <c r="AJ3" s="9" t="s">
        <v>213</v>
      </c>
      <c r="AK3" s="9" t="s">
        <v>214</v>
      </c>
      <c r="AL3" s="9" t="s">
        <v>215</v>
      </c>
    </row>
    <row r="4" spans="1:38" ht="72" customHeight="1" x14ac:dyDescent="0.3">
      <c r="A4" s="6"/>
      <c r="B4" s="6"/>
      <c r="C4" s="6"/>
      <c r="D4" s="7" t="s">
        <v>7</v>
      </c>
      <c r="E4" s="10" t="s">
        <v>29</v>
      </c>
      <c r="F4" s="10" t="s">
        <v>39</v>
      </c>
      <c r="G4" s="10" t="s">
        <v>216</v>
      </c>
      <c r="H4" s="10" t="s">
        <v>61</v>
      </c>
      <c r="I4" s="10" t="s">
        <v>67</v>
      </c>
      <c r="J4" s="10" t="s">
        <v>39</v>
      </c>
      <c r="K4" s="10" t="s">
        <v>73</v>
      </c>
      <c r="L4" s="10" t="s">
        <v>217</v>
      </c>
      <c r="M4" s="10" t="s">
        <v>98</v>
      </c>
      <c r="N4" s="10" t="s">
        <v>61</v>
      </c>
      <c r="O4" s="10" t="s">
        <v>67</v>
      </c>
      <c r="P4" s="10" t="s">
        <v>113</v>
      </c>
      <c r="Q4" s="10" t="s">
        <v>73</v>
      </c>
      <c r="R4" s="10" t="s">
        <v>121</v>
      </c>
      <c r="S4" s="10" t="s">
        <v>113</v>
      </c>
      <c r="T4" s="10" t="s">
        <v>217</v>
      </c>
      <c r="U4" s="10" t="s">
        <v>133</v>
      </c>
      <c r="V4" s="10" t="s">
        <v>98</v>
      </c>
      <c r="W4" s="10" t="s">
        <v>218</v>
      </c>
      <c r="X4" s="10" t="s">
        <v>151</v>
      </c>
      <c r="Y4" s="10" t="s">
        <v>133</v>
      </c>
      <c r="Z4" s="10" t="s">
        <v>156</v>
      </c>
      <c r="AA4" s="10" t="s">
        <v>218</v>
      </c>
      <c r="AB4" s="10" t="s">
        <v>156</v>
      </c>
      <c r="AC4" s="10" t="s">
        <v>151</v>
      </c>
      <c r="AD4" s="10" t="s">
        <v>156</v>
      </c>
      <c r="AE4" s="10" t="s">
        <v>170</v>
      </c>
      <c r="AF4" s="10" t="s">
        <v>113</v>
      </c>
      <c r="AG4" s="10" t="s">
        <v>61</v>
      </c>
      <c r="AH4" s="10" t="s">
        <v>133</v>
      </c>
      <c r="AI4" s="10" t="s">
        <v>170</v>
      </c>
      <c r="AJ4" s="10" t="s">
        <v>219</v>
      </c>
      <c r="AK4" s="10" t="s">
        <v>156</v>
      </c>
      <c r="AL4" s="10" t="s">
        <v>133</v>
      </c>
    </row>
    <row r="5" spans="1:38" x14ac:dyDescent="0.3">
      <c r="A5" s="11" t="s">
        <v>220</v>
      </c>
      <c r="B5" s="11" t="s">
        <v>221</v>
      </c>
      <c r="C5" s="11" t="s">
        <v>222</v>
      </c>
      <c r="AL5" s="12"/>
    </row>
    <row r="6" spans="1:38" x14ac:dyDescent="0.3">
      <c r="A6" s="4" t="s">
        <v>223</v>
      </c>
      <c r="B6" s="4" t="s">
        <v>29</v>
      </c>
      <c r="C6" s="4"/>
      <c r="E6" s="4"/>
      <c r="F6" s="4"/>
      <c r="G6" s="4"/>
      <c r="H6" s="4"/>
      <c r="I6" s="4"/>
      <c r="J6" s="4"/>
      <c r="K6" s="4"/>
      <c r="L6" s="4"/>
      <c r="M6" s="4" t="s">
        <v>273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 t="s">
        <v>273</v>
      </c>
    </row>
    <row r="7" spans="1:38" x14ac:dyDescent="0.3">
      <c r="A7" s="4" t="s">
        <v>224</v>
      </c>
      <c r="B7" s="4" t="s">
        <v>29</v>
      </c>
      <c r="C7" s="4"/>
      <c r="E7" s="4"/>
      <c r="F7" s="4" t="s">
        <v>273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3">
      <c r="A8" s="4" t="s">
        <v>225</v>
      </c>
      <c r="B8" s="4" t="s">
        <v>29</v>
      </c>
      <c r="C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 t="s">
        <v>273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3">
      <c r="A9" s="4" t="s">
        <v>226</v>
      </c>
      <c r="B9" s="4" t="s">
        <v>29</v>
      </c>
      <c r="C9" s="4"/>
      <c r="E9" s="4"/>
      <c r="F9" s="4"/>
      <c r="G9" s="4"/>
      <c r="H9" s="4"/>
      <c r="I9" s="4"/>
      <c r="J9" s="4" t="s">
        <v>273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x14ac:dyDescent="0.3">
      <c r="A10" s="4" t="s">
        <v>227</v>
      </c>
      <c r="B10" s="4" t="s">
        <v>29</v>
      </c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 t="s">
        <v>273</v>
      </c>
      <c r="R10" s="4"/>
      <c r="S10" s="4"/>
      <c r="T10" s="4"/>
      <c r="U10" s="4"/>
      <c r="V10" s="4"/>
      <c r="W10" s="4"/>
      <c r="X10" s="4"/>
      <c r="Y10" s="4"/>
      <c r="Z10" s="4"/>
      <c r="AA10" s="4" t="s">
        <v>273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x14ac:dyDescent="0.3">
      <c r="A11" s="4" t="s">
        <v>228</v>
      </c>
      <c r="B11" s="4" t="s">
        <v>29</v>
      </c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 t="s">
        <v>273</v>
      </c>
    </row>
    <row r="12" spans="1:38" x14ac:dyDescent="0.3">
      <c r="A12" s="4" t="s">
        <v>229</v>
      </c>
      <c r="B12" s="4" t="s">
        <v>29</v>
      </c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273</v>
      </c>
      <c r="AD12" s="4"/>
      <c r="AE12" s="4"/>
      <c r="AF12" s="4" t="s">
        <v>273</v>
      </c>
      <c r="AG12" s="4"/>
      <c r="AH12" s="4"/>
      <c r="AI12" s="4"/>
      <c r="AJ12" s="4"/>
      <c r="AK12" s="4"/>
      <c r="AL12" s="4"/>
    </row>
    <row r="13" spans="1:38" x14ac:dyDescent="0.3">
      <c r="A13" s="4" t="s">
        <v>230</v>
      </c>
      <c r="B13" s="4" t="s">
        <v>29</v>
      </c>
      <c r="C13" s="4"/>
      <c r="E13" s="4"/>
      <c r="F13" s="4"/>
      <c r="G13" s="4"/>
      <c r="H13" s="4"/>
      <c r="I13" s="4"/>
      <c r="J13" s="4"/>
      <c r="K13" s="4"/>
      <c r="L13" s="4" t="s">
        <v>273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 t="s">
        <v>273</v>
      </c>
      <c r="AI13" s="4"/>
      <c r="AJ13" s="4"/>
      <c r="AK13" s="4"/>
      <c r="AL13" s="4"/>
    </row>
    <row r="14" spans="1:38" x14ac:dyDescent="0.3">
      <c r="A14" s="4" t="s">
        <v>231</v>
      </c>
      <c r="B14" s="4" t="s">
        <v>29</v>
      </c>
      <c r="C14" s="4"/>
      <c r="E14" s="4" t="s">
        <v>273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273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x14ac:dyDescent="0.3">
      <c r="A15" s="4" t="s">
        <v>232</v>
      </c>
      <c r="B15" s="4" t="s">
        <v>29</v>
      </c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 t="s">
        <v>273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 t="s">
        <v>273</v>
      </c>
      <c r="AI15" s="4"/>
      <c r="AJ15" s="4"/>
      <c r="AK15" s="4"/>
      <c r="AL15" s="4"/>
    </row>
    <row r="16" spans="1:38" x14ac:dyDescent="0.3">
      <c r="A16" s="4" t="s">
        <v>233</v>
      </c>
      <c r="B16" s="4" t="s">
        <v>29</v>
      </c>
      <c r="C16" s="4"/>
      <c r="E16" s="4"/>
      <c r="F16" s="4"/>
      <c r="G16" s="4"/>
      <c r="H16" s="4"/>
      <c r="I16" s="4" t="s">
        <v>273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 t="s">
        <v>273</v>
      </c>
      <c r="W16" s="4"/>
      <c r="X16" s="4"/>
      <c r="Y16" s="4"/>
      <c r="Z16" s="4"/>
      <c r="AA16" s="4"/>
      <c r="AB16" s="4"/>
      <c r="AC16" s="4"/>
      <c r="AD16" s="4" t="s">
        <v>273</v>
      </c>
      <c r="AE16" s="4"/>
      <c r="AF16" s="4"/>
      <c r="AG16" s="4"/>
      <c r="AH16" s="4"/>
      <c r="AI16" s="4"/>
      <c r="AJ16" s="4"/>
      <c r="AK16" s="4"/>
      <c r="AL16" s="4"/>
    </row>
    <row r="17" spans="1:38" x14ac:dyDescent="0.3">
      <c r="A17" s="4" t="s">
        <v>234</v>
      </c>
      <c r="B17" s="4" t="s">
        <v>29</v>
      </c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 t="s">
        <v>273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 t="s">
        <v>273</v>
      </c>
      <c r="AL17" s="4"/>
    </row>
    <row r="18" spans="1:38" x14ac:dyDescent="0.3">
      <c r="A18" s="4" t="s">
        <v>235</v>
      </c>
      <c r="B18" s="4" t="s">
        <v>29</v>
      </c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 t="s">
        <v>273</v>
      </c>
      <c r="AF18" s="4"/>
      <c r="AG18" s="4"/>
      <c r="AH18" s="4"/>
      <c r="AI18" s="4"/>
      <c r="AJ18" s="4"/>
      <c r="AK18" s="4"/>
      <c r="AL18" s="4"/>
    </row>
    <row r="19" spans="1:38" x14ac:dyDescent="0.3">
      <c r="A19" s="4" t="s">
        <v>236</v>
      </c>
      <c r="B19" s="4" t="s">
        <v>29</v>
      </c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 t="s">
        <v>273</v>
      </c>
      <c r="AB19" s="4"/>
      <c r="AC19" s="4"/>
      <c r="AD19" s="4"/>
      <c r="AE19" s="4"/>
      <c r="AF19" s="4"/>
      <c r="AG19" s="4"/>
      <c r="AH19" s="4" t="s">
        <v>273</v>
      </c>
      <c r="AI19" s="4"/>
      <c r="AJ19" s="4"/>
      <c r="AK19" s="4"/>
      <c r="AL19" s="4"/>
    </row>
    <row r="20" spans="1:38" x14ac:dyDescent="0.3">
      <c r="A20" s="4" t="s">
        <v>237</v>
      </c>
      <c r="B20" s="4" t="s">
        <v>61</v>
      </c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 t="s">
        <v>273</v>
      </c>
      <c r="AE20" s="4"/>
      <c r="AF20" s="4"/>
      <c r="AG20" s="4"/>
      <c r="AH20" s="4"/>
      <c r="AI20" s="4"/>
      <c r="AJ20" s="4"/>
      <c r="AK20" s="4"/>
      <c r="AL20" s="4"/>
    </row>
    <row r="21" spans="1:38" x14ac:dyDescent="0.3">
      <c r="A21" s="4" t="s">
        <v>238</v>
      </c>
      <c r="B21" s="4" t="s">
        <v>61</v>
      </c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 t="s">
        <v>273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 t="s">
        <v>273</v>
      </c>
      <c r="AL21" s="4"/>
    </row>
    <row r="22" spans="1:38" x14ac:dyDescent="0.3">
      <c r="A22" s="4" t="s">
        <v>239</v>
      </c>
      <c r="B22" s="4" t="s">
        <v>61</v>
      </c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 t="s">
        <v>273</v>
      </c>
      <c r="AF22" s="4"/>
      <c r="AG22" s="4"/>
      <c r="AH22" s="4" t="s">
        <v>273</v>
      </c>
      <c r="AI22" s="4"/>
      <c r="AJ22" s="4"/>
      <c r="AK22" s="4"/>
      <c r="AL22" s="4"/>
    </row>
    <row r="23" spans="1:38" x14ac:dyDescent="0.3">
      <c r="A23" s="4" t="s">
        <v>240</v>
      </c>
      <c r="B23" s="4" t="s">
        <v>61</v>
      </c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 t="s">
        <v>273</v>
      </c>
      <c r="AB23" s="4"/>
      <c r="AC23" s="4"/>
      <c r="AD23" s="4" t="s">
        <v>273</v>
      </c>
      <c r="AE23" s="4"/>
      <c r="AF23" s="4"/>
      <c r="AG23" s="4"/>
      <c r="AH23" s="4"/>
      <c r="AI23" s="4"/>
      <c r="AJ23" s="4"/>
      <c r="AK23" s="4"/>
      <c r="AL23" s="4"/>
    </row>
    <row r="24" spans="1:38" x14ac:dyDescent="0.3">
      <c r="A24" s="4" t="s">
        <v>241</v>
      </c>
      <c r="B24" s="4" t="s">
        <v>61</v>
      </c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 t="s">
        <v>273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 t="s">
        <v>273</v>
      </c>
      <c r="AL24" s="4"/>
    </row>
    <row r="25" spans="1:38" x14ac:dyDescent="0.3">
      <c r="A25" s="4" t="s">
        <v>242</v>
      </c>
      <c r="B25" s="4" t="s">
        <v>61</v>
      </c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 t="s">
        <v>273</v>
      </c>
      <c r="AF25" s="4"/>
      <c r="AG25" s="4"/>
      <c r="AH25" s="4"/>
      <c r="AI25" s="4"/>
      <c r="AJ25" s="4"/>
      <c r="AK25" s="4"/>
      <c r="AL25" s="4"/>
    </row>
    <row r="26" spans="1:38" x14ac:dyDescent="0.3">
      <c r="A26" s="4" t="s">
        <v>243</v>
      </c>
      <c r="B26" s="4" t="s">
        <v>61</v>
      </c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 t="s">
        <v>273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x14ac:dyDescent="0.3">
      <c r="A27" s="4" t="s">
        <v>244</v>
      </c>
      <c r="B27" s="4" t="s">
        <v>61</v>
      </c>
      <c r="C27" s="4"/>
      <c r="E27" s="4"/>
      <c r="F27" s="4"/>
      <c r="G27" s="4"/>
      <c r="H27" s="4"/>
      <c r="I27" s="4"/>
      <c r="J27" s="4"/>
      <c r="K27" s="4"/>
      <c r="L27" s="4"/>
      <c r="M27" s="4" t="s">
        <v>273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x14ac:dyDescent="0.3">
      <c r="A28" s="4" t="s">
        <v>245</v>
      </c>
      <c r="B28" s="4" t="s">
        <v>61</v>
      </c>
      <c r="C28" s="4"/>
      <c r="E28" s="4"/>
      <c r="F28" s="4" t="s">
        <v>273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273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 t="s">
        <v>273</v>
      </c>
      <c r="AG28" s="4"/>
      <c r="AH28" s="4"/>
      <c r="AI28" s="4"/>
      <c r="AJ28" s="4"/>
      <c r="AK28" s="4"/>
      <c r="AL28" s="4"/>
    </row>
    <row r="29" spans="1:38" x14ac:dyDescent="0.3">
      <c r="A29" s="4" t="s">
        <v>246</v>
      </c>
      <c r="B29" s="4" t="s">
        <v>61</v>
      </c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 t="s">
        <v>273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273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x14ac:dyDescent="0.3">
      <c r="A30" s="4" t="s">
        <v>247</v>
      </c>
      <c r="B30" s="4" t="s">
        <v>61</v>
      </c>
      <c r="C30" s="4"/>
      <c r="E30" s="4"/>
      <c r="F30" s="4"/>
      <c r="G30" s="4"/>
      <c r="H30" s="4"/>
      <c r="I30" s="4"/>
      <c r="J30" s="4" t="s">
        <v>273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 t="s">
        <v>273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 t="s">
        <v>273</v>
      </c>
      <c r="AJ30" s="4"/>
      <c r="AK30" s="4"/>
      <c r="AL30" s="4"/>
    </row>
    <row r="31" spans="1:38" x14ac:dyDescent="0.3">
      <c r="A31" s="4" t="s">
        <v>248</v>
      </c>
      <c r="B31" s="4" t="s">
        <v>61</v>
      </c>
      <c r="C31" s="4"/>
      <c r="E31" s="4"/>
      <c r="F31" s="4"/>
      <c r="G31" s="4"/>
      <c r="H31" s="4"/>
      <c r="I31" s="4"/>
      <c r="J31" s="4"/>
      <c r="K31" s="4"/>
      <c r="L31" s="4"/>
      <c r="M31" s="4" t="s">
        <v>273</v>
      </c>
      <c r="N31" s="4"/>
      <c r="O31" s="4"/>
      <c r="P31" s="4"/>
      <c r="Q31" s="4" t="s">
        <v>273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x14ac:dyDescent="0.3">
      <c r="A32" s="4" t="s">
        <v>249</v>
      </c>
      <c r="B32" s="4" t="s">
        <v>61</v>
      </c>
      <c r="C32" s="4"/>
      <c r="E32" s="4"/>
      <c r="F32" s="4" t="s">
        <v>273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273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3">
      <c r="A33" s="4" t="s">
        <v>250</v>
      </c>
      <c r="B33" s="4" t="s">
        <v>61</v>
      </c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 t="s">
        <v>273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 t="s">
        <v>273</v>
      </c>
      <c r="AF33" s="4"/>
      <c r="AG33" s="4"/>
      <c r="AH33" s="4"/>
      <c r="AI33" s="4"/>
      <c r="AJ33" s="4"/>
      <c r="AK33" s="4"/>
      <c r="AL33" s="4"/>
    </row>
    <row r="34" spans="1:38" x14ac:dyDescent="0.3">
      <c r="A34" s="4" t="s">
        <v>251</v>
      </c>
      <c r="B34" s="4" t="s">
        <v>61</v>
      </c>
      <c r="C34" s="4"/>
      <c r="E34" s="4"/>
      <c r="F34" s="4"/>
      <c r="G34" s="4"/>
      <c r="H34" s="4"/>
      <c r="I34" s="4"/>
      <c r="J34" s="4" t="s">
        <v>273</v>
      </c>
      <c r="K34" s="4"/>
      <c r="L34" s="4"/>
      <c r="M34" s="4" t="s">
        <v>273</v>
      </c>
      <c r="N34" s="4"/>
      <c r="O34" s="4"/>
      <c r="P34" s="4"/>
      <c r="Q34" s="4"/>
      <c r="R34" s="4"/>
      <c r="S34" s="4"/>
      <c r="T34" s="4"/>
      <c r="U34" s="4"/>
      <c r="V34" s="4"/>
      <c r="W34" s="4" t="s">
        <v>273</v>
      </c>
      <c r="X34" s="4"/>
      <c r="Y34" s="4"/>
      <c r="Z34" s="4"/>
      <c r="AA34" s="4" t="s">
        <v>273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x14ac:dyDescent="0.3">
      <c r="A35" s="4" t="s">
        <v>252</v>
      </c>
      <c r="B35" s="4" t="s">
        <v>61</v>
      </c>
      <c r="C35" s="4"/>
      <c r="E35" s="4"/>
      <c r="F35" s="4" t="s">
        <v>273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273</v>
      </c>
      <c r="R35" s="4"/>
      <c r="S35" s="4"/>
      <c r="T35" s="4" t="s">
        <v>273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 t="s">
        <v>273</v>
      </c>
      <c r="AF35" s="4"/>
      <c r="AG35" s="4"/>
      <c r="AH35" s="4"/>
      <c r="AI35" s="4"/>
      <c r="AJ35" s="4"/>
      <c r="AK35" s="4"/>
      <c r="AL35" s="4"/>
    </row>
    <row r="36" spans="1:38" x14ac:dyDescent="0.3">
      <c r="A36" s="4" t="s">
        <v>253</v>
      </c>
      <c r="B36" s="4" t="s">
        <v>73</v>
      </c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273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 t="s">
        <v>273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3">
      <c r="A37" s="4" t="s">
        <v>254</v>
      </c>
      <c r="B37" s="4" t="s">
        <v>73</v>
      </c>
      <c r="C37" s="4"/>
      <c r="E37" s="4"/>
      <c r="F37" s="4"/>
      <c r="G37" s="4"/>
      <c r="H37" s="4"/>
      <c r="I37" s="4"/>
      <c r="J37" s="4" t="s">
        <v>273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 t="s">
        <v>273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">
      <c r="A38" s="4" t="s">
        <v>255</v>
      </c>
      <c r="B38" s="4" t="s">
        <v>73</v>
      </c>
      <c r="C38" s="4"/>
      <c r="E38" s="4"/>
      <c r="F38" s="4"/>
      <c r="G38" s="4" t="s">
        <v>273</v>
      </c>
      <c r="H38" s="4"/>
      <c r="I38" s="4"/>
      <c r="J38" s="4"/>
      <c r="K38" s="4"/>
      <c r="L38" s="4"/>
      <c r="M38" s="4"/>
      <c r="N38" s="4"/>
      <c r="O38" s="4"/>
      <c r="P38" s="4"/>
      <c r="Q38" s="4" t="s">
        <v>273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">
      <c r="A39" s="4" t="s">
        <v>256</v>
      </c>
      <c r="B39" s="4" t="s">
        <v>73</v>
      </c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">
      <c r="A40" s="4" t="s">
        <v>257</v>
      </c>
      <c r="B40" s="4" t="s">
        <v>73</v>
      </c>
      <c r="C40" s="4"/>
      <c r="E40" s="4"/>
      <c r="F40" s="4"/>
      <c r="G40" s="4"/>
      <c r="H40" s="4"/>
      <c r="I40" s="4"/>
      <c r="J40" s="4"/>
      <c r="K40" s="4" t="s">
        <v>273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 t="s">
        <v>273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">
      <c r="A41" s="4" t="s">
        <v>258</v>
      </c>
      <c r="B41" s="4" t="s">
        <v>73</v>
      </c>
      <c r="C41" s="4"/>
      <c r="E41" s="4"/>
      <c r="F41" s="4"/>
      <c r="G41" s="4" t="s">
        <v>273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273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">
      <c r="A42" s="4" t="s">
        <v>259</v>
      </c>
      <c r="B42" s="4" t="s">
        <v>73</v>
      </c>
      <c r="C42" s="4"/>
      <c r="E42" s="4"/>
      <c r="F42" s="4"/>
      <c r="G42" s="4"/>
      <c r="H42" s="4"/>
      <c r="I42" s="4"/>
      <c r="J42" s="4"/>
      <c r="K42" s="4"/>
      <c r="L42" s="4"/>
      <c r="M42" s="4"/>
      <c r="N42" s="4" t="s">
        <v>273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">
      <c r="A43" s="4" t="s">
        <v>260</v>
      </c>
      <c r="B43" s="4" t="s">
        <v>73</v>
      </c>
      <c r="C43" s="4"/>
      <c r="E43" s="4"/>
      <c r="F43" s="4"/>
      <c r="G43" s="4"/>
      <c r="H43" s="4"/>
      <c r="I43" s="4"/>
      <c r="J43" s="4"/>
      <c r="K43" s="4" t="s">
        <v>273</v>
      </c>
      <c r="L43" s="4"/>
      <c r="M43" s="4"/>
      <c r="N43" s="4"/>
      <c r="O43" s="4"/>
      <c r="P43" s="4"/>
      <c r="Q43" s="4"/>
      <c r="R43" s="4"/>
      <c r="S43" s="4"/>
      <c r="T43" s="4"/>
      <c r="U43" s="4" t="s">
        <v>273</v>
      </c>
      <c r="V43" s="4"/>
      <c r="W43" s="4"/>
      <c r="X43" s="4" t="s">
        <v>273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3">
      <c r="A44" s="4" t="s">
        <v>261</v>
      </c>
      <c r="B44" s="4" t="s">
        <v>73</v>
      </c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x14ac:dyDescent="0.3">
      <c r="A45" s="4" t="s">
        <v>262</v>
      </c>
      <c r="B45" s="4" t="s">
        <v>73</v>
      </c>
      <c r="C45" s="4"/>
      <c r="E45" s="4"/>
      <c r="F45" s="4"/>
      <c r="G45" s="4" t="s">
        <v>273</v>
      </c>
      <c r="H45" s="4"/>
      <c r="I45" s="4"/>
      <c r="J45" s="4"/>
      <c r="K45" s="4"/>
      <c r="L45" s="4"/>
      <c r="M45" s="4"/>
      <c r="N45" s="4" t="s">
        <v>273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x14ac:dyDescent="0.3">
      <c r="A46" s="4" t="s">
        <v>263</v>
      </c>
      <c r="B46" s="4" t="s">
        <v>73</v>
      </c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 t="s">
        <v>273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 t="s">
        <v>273</v>
      </c>
      <c r="AG46" s="4"/>
      <c r="AH46" s="4"/>
      <c r="AI46" s="4"/>
      <c r="AJ46" s="4"/>
      <c r="AK46" s="4"/>
      <c r="AL46" s="4"/>
    </row>
    <row r="47" spans="1:38" x14ac:dyDescent="0.3">
      <c r="A47" s="4" t="s">
        <v>264</v>
      </c>
      <c r="B47" s="4" t="s">
        <v>113</v>
      </c>
      <c r="C47" s="4"/>
      <c r="E47" s="4"/>
      <c r="F47" s="4"/>
      <c r="G47" s="4" t="s">
        <v>273</v>
      </c>
      <c r="H47" s="4"/>
      <c r="I47" s="4"/>
      <c r="J47" s="4"/>
      <c r="K47" s="4" t="s">
        <v>273</v>
      </c>
      <c r="L47" s="4"/>
      <c r="M47" s="4" t="s">
        <v>273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273</v>
      </c>
      <c r="AD47" s="4"/>
      <c r="AE47" s="4"/>
      <c r="AF47" s="4"/>
      <c r="AG47" s="4"/>
      <c r="AH47" s="4"/>
      <c r="AI47" s="4"/>
      <c r="AJ47" s="4"/>
      <c r="AK47" s="4"/>
      <c r="AL47" s="4"/>
    </row>
    <row r="48" spans="1:38" x14ac:dyDescent="0.3">
      <c r="A48" s="4" t="s">
        <v>265</v>
      </c>
      <c r="B48" s="4" t="s">
        <v>113</v>
      </c>
      <c r="C48" s="4"/>
      <c r="E48" s="4"/>
      <c r="F48" s="4" t="s">
        <v>273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 t="s">
        <v>273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x14ac:dyDescent="0.3">
      <c r="A49" s="4" t="s">
        <v>266</v>
      </c>
      <c r="B49" s="4" t="s">
        <v>113</v>
      </c>
      <c r="C49" s="4"/>
      <c r="E49" s="4"/>
      <c r="F49" s="4"/>
      <c r="G49" s="4"/>
      <c r="H49" s="4"/>
      <c r="I49" s="4"/>
      <c r="J49" s="4"/>
      <c r="K49" s="4" t="s">
        <v>273</v>
      </c>
      <c r="L49" s="4"/>
      <c r="M49" s="4"/>
      <c r="N49" s="4" t="s">
        <v>273</v>
      </c>
      <c r="O49" s="4"/>
      <c r="P49" s="4" t="s">
        <v>273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x14ac:dyDescent="0.3">
      <c r="A50" s="4" t="s">
        <v>267</v>
      </c>
      <c r="B50" s="4" t="s">
        <v>113</v>
      </c>
      <c r="C50" s="4"/>
      <c r="E50" s="4"/>
      <c r="F50" s="4"/>
      <c r="G50" s="4"/>
      <c r="H50" s="4"/>
      <c r="I50" s="4"/>
      <c r="J50" s="4" t="s">
        <v>273</v>
      </c>
      <c r="K50" s="4"/>
      <c r="L50" s="4"/>
      <c r="M50" s="4" t="s">
        <v>273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x14ac:dyDescent="0.3">
      <c r="A51" s="4" t="s">
        <v>268</v>
      </c>
      <c r="B51" s="4" t="s">
        <v>113</v>
      </c>
      <c r="C51" s="4"/>
      <c r="E51" s="4"/>
      <c r="F51" s="4" t="s">
        <v>273</v>
      </c>
      <c r="G51" s="4"/>
      <c r="H51" s="4"/>
      <c r="I51" s="4"/>
      <c r="J51" s="4"/>
      <c r="K51" s="4"/>
      <c r="L51" s="4"/>
      <c r="M51" s="4"/>
      <c r="N51" s="4" t="s">
        <v>273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x14ac:dyDescent="0.3">
      <c r="A52" s="4" t="s">
        <v>269</v>
      </c>
      <c r="B52" s="4" t="s">
        <v>274</v>
      </c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x14ac:dyDescent="0.3">
      <c r="A53" s="4" t="s">
        <v>270</v>
      </c>
      <c r="B53" s="4" t="s">
        <v>274</v>
      </c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x14ac:dyDescent="0.3">
      <c r="A54" s="4" t="s">
        <v>271</v>
      </c>
      <c r="B54" s="4" t="s">
        <v>274</v>
      </c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x14ac:dyDescent="0.3">
      <c r="A55" s="4" t="s">
        <v>272</v>
      </c>
      <c r="B55" s="4" t="s">
        <v>274</v>
      </c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 Dates</vt:lpstr>
      <vt:lpstr>Schedule</vt:lpstr>
      <vt:lpstr>Unavailability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 Boon Kiat</dc:creator>
  <cp:lastModifiedBy>Gabriel Lim Boon Kiat</cp:lastModifiedBy>
  <dcterms:created xsi:type="dcterms:W3CDTF">2026-09-14T07:57:27Z</dcterms:created>
  <dcterms:modified xsi:type="dcterms:W3CDTF">2026-09-14T12:00:24Z</dcterms:modified>
</cp:coreProperties>
</file>